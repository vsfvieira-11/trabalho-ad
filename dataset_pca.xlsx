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2a02fbe207194d/Documentos/trabalho-ad-main/trabalho-ad-main/"/>
    </mc:Choice>
  </mc:AlternateContent>
  <xr:revisionPtr revIDLastSave="0" documentId="8_{6892FE3C-1E22-4222-9C07-B4B39941859C}" xr6:coauthVersionLast="47" xr6:coauthVersionMax="47" xr10:uidLastSave="{00000000-0000-0000-0000-000000000000}"/>
  <bookViews>
    <workbookView xWindow="-108" yWindow="-108" windowWidth="23256" windowHeight="12456" xr2:uid="{3CBB6E92-BFEA-48A6-B078-0CE35FF4C17F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2" i="1" l="1"/>
  <c r="C222" i="1"/>
  <c r="B222" i="1"/>
  <c r="D221" i="1"/>
  <c r="C221" i="1"/>
  <c r="B221" i="1"/>
  <c r="D220" i="1"/>
  <c r="C220" i="1"/>
  <c r="B220" i="1"/>
  <c r="D219" i="1"/>
  <c r="C219" i="1"/>
  <c r="B219" i="1"/>
  <c r="D218" i="1"/>
  <c r="C218" i="1"/>
  <c r="B218" i="1"/>
  <c r="D217" i="1"/>
  <c r="C217" i="1"/>
  <c r="B217" i="1"/>
  <c r="D216" i="1"/>
  <c r="C216" i="1"/>
  <c r="B216" i="1"/>
  <c r="D215" i="1"/>
  <c r="C215" i="1"/>
  <c r="B215" i="1"/>
  <c r="D214" i="1"/>
  <c r="C214" i="1"/>
  <c r="B214" i="1"/>
  <c r="D213" i="1"/>
  <c r="C213" i="1"/>
  <c r="B213" i="1"/>
  <c r="D212" i="1"/>
  <c r="C212" i="1"/>
  <c r="B212" i="1"/>
  <c r="D211" i="1"/>
  <c r="C211" i="1"/>
  <c r="B211" i="1"/>
  <c r="D210" i="1"/>
  <c r="C210" i="1"/>
  <c r="B210" i="1"/>
  <c r="D209" i="1"/>
  <c r="C209" i="1"/>
  <c r="B209" i="1"/>
  <c r="D208" i="1"/>
  <c r="C208" i="1"/>
  <c r="B208" i="1"/>
  <c r="D207" i="1"/>
  <c r="C207" i="1"/>
  <c r="B207" i="1"/>
  <c r="D206" i="1"/>
  <c r="C206" i="1"/>
  <c r="B206" i="1"/>
  <c r="D205" i="1"/>
  <c r="C205" i="1"/>
  <c r="B205" i="1"/>
  <c r="D204" i="1"/>
  <c r="C204" i="1"/>
  <c r="B204" i="1"/>
  <c r="D203" i="1"/>
  <c r="C203" i="1"/>
  <c r="B203" i="1"/>
  <c r="D202" i="1"/>
  <c r="C202" i="1"/>
  <c r="B202" i="1"/>
  <c r="D201" i="1"/>
  <c r="C201" i="1"/>
  <c r="B201" i="1"/>
  <c r="D200" i="1"/>
  <c r="C200" i="1"/>
  <c r="B200" i="1"/>
  <c r="D199" i="1"/>
  <c r="C199" i="1"/>
  <c r="B199" i="1"/>
  <c r="D198" i="1"/>
  <c r="C198" i="1"/>
  <c r="B198" i="1"/>
  <c r="D197" i="1"/>
  <c r="C197" i="1"/>
  <c r="B197" i="1"/>
  <c r="D196" i="1"/>
  <c r="C196" i="1"/>
  <c r="B196" i="1"/>
  <c r="D195" i="1"/>
  <c r="C195" i="1"/>
  <c r="B195" i="1"/>
  <c r="D194" i="1"/>
  <c r="C194" i="1"/>
  <c r="B194" i="1"/>
  <c r="D193" i="1"/>
  <c r="C193" i="1"/>
  <c r="B193" i="1"/>
  <c r="D192" i="1"/>
  <c r="C192" i="1"/>
  <c r="B192" i="1"/>
  <c r="D191" i="1"/>
  <c r="C191" i="1"/>
  <c r="B191" i="1"/>
  <c r="D190" i="1"/>
  <c r="C190" i="1"/>
  <c r="B190" i="1"/>
  <c r="D189" i="1"/>
  <c r="C189" i="1"/>
  <c r="B189" i="1"/>
  <c r="D188" i="1"/>
  <c r="C188" i="1"/>
  <c r="B188" i="1"/>
  <c r="D187" i="1"/>
  <c r="C187" i="1"/>
  <c r="B187" i="1"/>
  <c r="D186" i="1"/>
  <c r="C186" i="1"/>
  <c r="B186" i="1"/>
  <c r="D185" i="1"/>
  <c r="C185" i="1"/>
  <c r="B185" i="1"/>
  <c r="D184" i="1"/>
  <c r="C184" i="1"/>
  <c r="B184" i="1"/>
  <c r="D183" i="1"/>
  <c r="C183" i="1"/>
  <c r="B183" i="1"/>
  <c r="D182" i="1"/>
  <c r="C182" i="1"/>
  <c r="B182" i="1"/>
  <c r="D181" i="1"/>
  <c r="C181" i="1"/>
  <c r="B181" i="1"/>
  <c r="D180" i="1"/>
  <c r="C180" i="1"/>
  <c r="B180" i="1"/>
  <c r="D179" i="1"/>
  <c r="C179" i="1"/>
  <c r="B179" i="1"/>
  <c r="D178" i="1"/>
  <c r="C178" i="1"/>
  <c r="B178" i="1"/>
  <c r="D177" i="1"/>
  <c r="C177" i="1"/>
  <c r="B177" i="1"/>
  <c r="D176" i="1"/>
  <c r="C176" i="1"/>
  <c r="B176" i="1"/>
  <c r="D175" i="1"/>
  <c r="C175" i="1"/>
  <c r="B175" i="1"/>
  <c r="D174" i="1"/>
  <c r="C174" i="1"/>
  <c r="B174" i="1"/>
  <c r="D173" i="1"/>
  <c r="C173" i="1"/>
  <c r="B173" i="1"/>
  <c r="D172" i="1"/>
  <c r="C172" i="1"/>
  <c r="B172" i="1"/>
  <c r="D171" i="1"/>
  <c r="C171" i="1"/>
  <c r="B171" i="1"/>
  <c r="D170" i="1"/>
  <c r="C170" i="1"/>
  <c r="B170" i="1"/>
  <c r="D169" i="1"/>
  <c r="C169" i="1"/>
  <c r="B169" i="1"/>
  <c r="D168" i="1"/>
  <c r="C168" i="1"/>
  <c r="B168" i="1"/>
  <c r="D167" i="1"/>
  <c r="C167" i="1"/>
  <c r="B167" i="1"/>
  <c r="D166" i="1"/>
  <c r="C166" i="1"/>
  <c r="B166" i="1"/>
  <c r="D165" i="1"/>
  <c r="C165" i="1"/>
  <c r="B165" i="1"/>
  <c r="D164" i="1"/>
  <c r="C164" i="1"/>
  <c r="B164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<sst xmlns="http://schemas.openxmlformats.org/spreadsheetml/2006/main" count="4" uniqueCount="4">
  <si>
    <t>Coluna1</t>
  </si>
  <si>
    <t>ponto de fulgor</t>
  </si>
  <si>
    <t>massa específica</t>
  </si>
  <si>
    <t>enxofre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</si>
</sst>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undepquimica-my.sharepoint.com/personal/apoiogq_ufmglec_tec_br/Documents/projeto%20-%20An&#225;lise%20de%20Dados.xlsx" TargetMode="External"/><Relationship Id="rId1" Type="http://schemas.openxmlformats.org/officeDocument/2006/relationships/externalLinkPath" Target="https://fundepquimica-my.sharepoint.com/personal/apoiogq_ufmglec_tec_br/Documents/projeto%20-%20An&#225;lise%20de%20D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dos projeto - maio"/>
      <sheetName val="abril"/>
      <sheetName val="maio"/>
      <sheetName val="todas"/>
      <sheetName val="ordenada - massa específica"/>
      <sheetName val="ordenada - fulgor"/>
      <sheetName val="ordenada - enxofre"/>
      <sheetName val="Amostras selecionad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1CC41-B75B-4D6A-93E6-D9401A8380F5}">
  <dimension ref="A1:D222"/>
  <sheetViews>
    <sheetView tabSelected="1" workbookViewId="0">
      <selection activeCell="H6" sqref="H6"/>
    </sheetView>
  </sheetViews>
  <sheetFormatPr defaultRowHeight="14.4" x14ac:dyDescent="0.3"/>
  <cols>
    <col min="1" max="1" width="23" customWidth="1"/>
    <col min="2" max="2" width="12.777343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tr">
        <f>[1]!Tabela9[[#This Row],[Código LEC]]&amp;".csv"</f>
        <v>35538.csv</v>
      </c>
      <c r="B2">
        <f>_xlfn.XLOOKUP([1]!Tabela9[[#This Row],[Codigo ANP]],[1]!abril6[Codigo Amostra],[1]!abril6[Ponto de fulgor])</f>
        <v>54.1</v>
      </c>
      <c r="C2">
        <f>_xlfn.XLOOKUP([1]!Tabela9[[#This Row],[Codigo ANP]],[1]!abril6[Codigo Amostra],[1]!abril6[Massa
Específica])</f>
        <v>836.6</v>
      </c>
      <c r="D2">
        <f>_xlfn.XLOOKUP([1]!Tabela9[[#This Row],[Codigo ANP]],[1]!abril6[Codigo Amostra],[1]!abril6[Teor de
Enxofre])</f>
        <v>6.6</v>
      </c>
    </row>
    <row r="3" spans="1:4" x14ac:dyDescent="0.3">
      <c r="A3" t="str">
        <f>[1]!Tabela9[[#This Row],[Código LEC]]&amp;".csv"</f>
        <v>35713.csv</v>
      </c>
      <c r="B3">
        <f>_xlfn.XLOOKUP([1]!Tabela9[[#This Row],[Codigo ANP]],[1]!abril6[Codigo Amostra],[1]!abril6[Ponto de fulgor])</f>
        <v>32.9</v>
      </c>
      <c r="C3">
        <f>_xlfn.XLOOKUP([1]!Tabela9[[#This Row],[Codigo ANP]],[1]!abril6[Codigo Amostra],[1]!abril6[Massa
Específica])</f>
        <v>844.9</v>
      </c>
      <c r="D3">
        <f>_xlfn.XLOOKUP([1]!Tabela9[[#This Row],[Codigo ANP]],[1]!abril6[Codigo Amostra],[1]!abril6[Teor de
Enxofre])</f>
        <v>160</v>
      </c>
    </row>
    <row r="4" spans="1:4" x14ac:dyDescent="0.3">
      <c r="A4" t="str">
        <f>[1]!Tabela9[[#This Row],[Código LEC]]&amp;".csv"</f>
        <v>35718.csv</v>
      </c>
      <c r="B4">
        <f>_xlfn.XLOOKUP([1]!Tabela9[[#This Row],[Codigo ANP]],[1]!abril6[Codigo Amostra],[1]!abril6[Ponto de fulgor])</f>
        <v>35</v>
      </c>
      <c r="C4">
        <f>_xlfn.XLOOKUP([1]!Tabela9[[#This Row],[Codigo ANP]],[1]!abril6[Codigo Amostra],[1]!abril6[Massa
Específica])</f>
        <v>858.1</v>
      </c>
      <c r="D4">
        <f>_xlfn.XLOOKUP([1]!Tabela9[[#This Row],[Codigo ANP]],[1]!abril6[Codigo Amostra],[1]!abril6[Teor de
Enxofre])</f>
        <v>340</v>
      </c>
    </row>
    <row r="5" spans="1:4" x14ac:dyDescent="0.3">
      <c r="A5" t="str">
        <f>[1]!Tabela9[[#This Row],[Código LEC]]&amp;".csv"</f>
        <v>35721.csv</v>
      </c>
      <c r="B5">
        <f>_xlfn.XLOOKUP([1]!Tabela9[[#This Row],[Codigo ANP]],[1]!abril6[Codigo Amostra],[1]!abril6[Ponto de fulgor])</f>
        <v>47.1</v>
      </c>
      <c r="C5">
        <f>_xlfn.XLOOKUP([1]!Tabela9[[#This Row],[Codigo ANP]],[1]!abril6[Codigo Amostra],[1]!abril6[Massa
Específica])</f>
        <v>840.4</v>
      </c>
      <c r="D5">
        <f>_xlfn.XLOOKUP([1]!Tabela9[[#This Row],[Codigo ANP]],[1]!abril6[Codigo Amostra],[1]!abril6[Teor de
Enxofre])</f>
        <v>7.3</v>
      </c>
    </row>
    <row r="6" spans="1:4" x14ac:dyDescent="0.3">
      <c r="A6" t="str">
        <f>[1]!Tabela9[[#This Row],[Código LEC]]&amp;".csv"</f>
        <v>35724.csv</v>
      </c>
      <c r="B6">
        <f>_xlfn.XLOOKUP([1]!Tabela9[[#This Row],[Codigo ANP]],[1]!abril6[Codigo Amostra],[1]!abril6[Ponto de fulgor])</f>
        <v>48</v>
      </c>
      <c r="C6">
        <f>_xlfn.XLOOKUP([1]!Tabela9[[#This Row],[Codigo ANP]],[1]!abril6[Codigo Amostra],[1]!abril6[Massa
Específica])</f>
        <v>858.8</v>
      </c>
      <c r="D6">
        <f>_xlfn.XLOOKUP([1]!Tabela9[[#This Row],[Codigo ANP]],[1]!abril6[Codigo Amostra],[1]!abril6[Teor de
Enxofre])</f>
        <v>360</v>
      </c>
    </row>
    <row r="7" spans="1:4" x14ac:dyDescent="0.3">
      <c r="A7" t="str">
        <f>[1]!Tabela9[[#This Row],[Código LEC]]&amp;".csv"</f>
        <v>35730.csv</v>
      </c>
      <c r="B7">
        <f>_xlfn.XLOOKUP([1]!Tabela9[[#This Row],[Codigo ANP]],[1]!abril6[Codigo Amostra],[1]!abril6[Ponto de fulgor])</f>
        <v>52</v>
      </c>
      <c r="C7">
        <f>_xlfn.XLOOKUP([1]!Tabela9[[#This Row],[Codigo ANP]],[1]!abril6[Codigo Amostra],[1]!abril6[Massa
Específica])</f>
        <v>837.8</v>
      </c>
      <c r="D7">
        <f>_xlfn.XLOOKUP([1]!Tabela9[[#This Row],[Codigo ANP]],[1]!abril6[Codigo Amostra],[1]!abril6[Teor de
Enxofre])</f>
        <v>150</v>
      </c>
    </row>
    <row r="8" spans="1:4" x14ac:dyDescent="0.3">
      <c r="A8" t="str">
        <f>[1]!Tabela9[[#This Row],[Código LEC]]&amp;".csv"</f>
        <v>35742.csv</v>
      </c>
      <c r="B8">
        <f>_xlfn.XLOOKUP([1]!Tabela9[[#This Row],[Codigo ANP]],[1]!abril6[Codigo Amostra],[1]!abril6[Ponto de fulgor])</f>
        <v>52</v>
      </c>
      <c r="C8">
        <f>_xlfn.XLOOKUP([1]!Tabela9[[#This Row],[Codigo ANP]],[1]!abril6[Codigo Amostra],[1]!abril6[Massa
Específica])</f>
        <v>849.3</v>
      </c>
      <c r="D8">
        <f>_xlfn.XLOOKUP([1]!Tabela9[[#This Row],[Codigo ANP]],[1]!abril6[Codigo Amostra],[1]!abril6[Teor de
Enxofre])</f>
        <v>150</v>
      </c>
    </row>
    <row r="9" spans="1:4" x14ac:dyDescent="0.3">
      <c r="A9" t="str">
        <f>[1]!Tabela9[[#This Row],[Código LEC]]&amp;".csv"</f>
        <v>35745.csv</v>
      </c>
      <c r="B9">
        <f>_xlfn.XLOOKUP([1]!Tabela9[[#This Row],[Codigo ANP]],[1]!abril6[Codigo Amostra],[1]!abril6[Ponto de fulgor])</f>
        <v>50.2</v>
      </c>
      <c r="C9">
        <f>_xlfn.XLOOKUP([1]!Tabela9[[#This Row],[Codigo ANP]],[1]!abril6[Codigo Amostra],[1]!abril6[Massa
Específica])</f>
        <v>845.3</v>
      </c>
      <c r="D9">
        <f>_xlfn.XLOOKUP([1]!Tabela9[[#This Row],[Codigo ANP]],[1]!abril6[Codigo Amostra],[1]!abril6[Teor de
Enxofre])</f>
        <v>180</v>
      </c>
    </row>
    <row r="10" spans="1:4" x14ac:dyDescent="0.3">
      <c r="A10" t="str">
        <f>[1]!Tabela9[[#This Row],[Código LEC]]&amp;".csv"</f>
        <v>35752.csv</v>
      </c>
      <c r="B10">
        <f>_xlfn.XLOOKUP([1]!Tabela9[[#This Row],[Codigo ANP]],[1]!abril6[Codigo Amostra],[1]!abril6[Ponto de fulgor])</f>
        <v>53.5</v>
      </c>
      <c r="C10">
        <f>_xlfn.XLOOKUP([1]!Tabela9[[#This Row],[Codigo ANP]],[1]!abril6[Codigo Amostra],[1]!abril6[Massa
Específica])</f>
        <v>842.8</v>
      </c>
      <c r="D10">
        <f>_xlfn.XLOOKUP([1]!Tabela9[[#This Row],[Codigo ANP]],[1]!abril6[Codigo Amostra],[1]!abril6[Teor de
Enxofre])</f>
        <v>6.8</v>
      </c>
    </row>
    <row r="11" spans="1:4" x14ac:dyDescent="0.3">
      <c r="A11" t="str">
        <f>[1]!Tabela9[[#This Row],[Código LEC]]&amp;".csv"</f>
        <v>35755.csv</v>
      </c>
      <c r="B11">
        <f>_xlfn.XLOOKUP([1]!Tabela9[[#This Row],[Codigo ANP]],[1]!abril6[Codigo Amostra],[1]!abril6[Ponto de fulgor])</f>
        <v>45.2</v>
      </c>
      <c r="C11">
        <f>_xlfn.XLOOKUP([1]!Tabela9[[#This Row],[Codigo ANP]],[1]!abril6[Codigo Amostra],[1]!abril6[Massa
Específica])</f>
        <v>858.6</v>
      </c>
      <c r="D11">
        <f>_xlfn.XLOOKUP([1]!Tabela9[[#This Row],[Codigo ANP]],[1]!abril6[Codigo Amostra],[1]!abril6[Teor de
Enxofre])</f>
        <v>240</v>
      </c>
    </row>
    <row r="12" spans="1:4" x14ac:dyDescent="0.3">
      <c r="A12" t="str">
        <f>[1]!Tabela9[[#This Row],[Código LEC]]&amp;".csv"</f>
        <v>35761.csv</v>
      </c>
      <c r="B12">
        <f>_xlfn.XLOOKUP([1]!Tabela9[[#This Row],[Codigo ANP]],[1]!abril6[Codigo Amostra],[1]!abril6[Ponto de fulgor])</f>
        <v>45.2</v>
      </c>
      <c r="C12">
        <f>_xlfn.XLOOKUP([1]!Tabela9[[#This Row],[Codigo ANP]],[1]!abril6[Codigo Amostra],[1]!abril6[Massa
Específica])</f>
        <v>846.5</v>
      </c>
      <c r="D12">
        <f>_xlfn.XLOOKUP([1]!Tabela9[[#This Row],[Codigo ANP]],[1]!abril6[Codigo Amostra],[1]!abril6[Teor de
Enxofre])</f>
        <v>6.4</v>
      </c>
    </row>
    <row r="13" spans="1:4" x14ac:dyDescent="0.3">
      <c r="A13" t="str">
        <f>[1]!Tabela9[[#This Row],[Código LEC]]&amp;".csv"</f>
        <v>35764.csv</v>
      </c>
      <c r="B13">
        <f>_xlfn.XLOOKUP([1]!Tabela9[[#This Row],[Codigo ANP]],[1]!abril6[Codigo Amostra],[1]!abril6[Ponto de fulgor])</f>
        <v>49.5</v>
      </c>
      <c r="C13">
        <f>_xlfn.XLOOKUP([1]!Tabela9[[#This Row],[Codigo ANP]],[1]!abril6[Codigo Amostra],[1]!abril6[Massa
Específica])</f>
        <v>859.8</v>
      </c>
      <c r="D13">
        <f>_xlfn.XLOOKUP([1]!Tabela9[[#This Row],[Codigo ANP]],[1]!abril6[Codigo Amostra],[1]!abril6[Teor de
Enxofre])</f>
        <v>300</v>
      </c>
    </row>
    <row r="14" spans="1:4" x14ac:dyDescent="0.3">
      <c r="A14" t="str">
        <f>[1]!Tabela9[[#This Row],[Código LEC]]&amp;".csv"</f>
        <v>35767.csv</v>
      </c>
      <c r="B14">
        <f>_xlfn.XLOOKUP([1]!Tabela9[[#This Row],[Codigo ANP]],[1]!abril6[Codigo Amostra],[1]!abril6[Ponto de fulgor])</f>
        <v>40.299999999999997</v>
      </c>
      <c r="C14">
        <f>_xlfn.XLOOKUP([1]!Tabela9[[#This Row],[Codigo ANP]],[1]!abril6[Codigo Amostra],[1]!abril6[Massa
Específica])</f>
        <v>857.5</v>
      </c>
      <c r="D14">
        <f>_xlfn.XLOOKUP([1]!Tabela9[[#This Row],[Codigo ANP]],[1]!abril6[Codigo Amostra],[1]!abril6[Teor de
Enxofre])</f>
        <v>200</v>
      </c>
    </row>
    <row r="15" spans="1:4" x14ac:dyDescent="0.3">
      <c r="A15" t="str">
        <f>[1]!Tabela9[[#This Row],[Código LEC]]&amp;".csv"</f>
        <v>35777.csv</v>
      </c>
      <c r="B15">
        <f>_xlfn.XLOOKUP([1]!Tabela9[[#This Row],[Codigo ANP]],[1]!abril6[Codigo Amostra],[1]!abril6[Ponto de fulgor])</f>
        <v>51.5</v>
      </c>
      <c r="C15">
        <f>_xlfn.XLOOKUP([1]!Tabela9[[#This Row],[Codigo ANP]],[1]!abril6[Codigo Amostra],[1]!abril6[Massa
Específica])</f>
        <v>862</v>
      </c>
      <c r="D15">
        <f>_xlfn.XLOOKUP([1]!Tabela9[[#This Row],[Codigo ANP]],[1]!abril6[Codigo Amostra],[1]!abril6[Teor de
Enxofre])</f>
        <v>220</v>
      </c>
    </row>
    <row r="16" spans="1:4" x14ac:dyDescent="0.3">
      <c r="A16" t="str">
        <f>[1]!Tabela9[[#This Row],[Código LEC]]&amp;".csv"</f>
        <v>35780.csv</v>
      </c>
      <c r="B16">
        <f>_xlfn.XLOOKUP([1]!Tabela9[[#This Row],[Codigo ANP]],[1]!abril6[Codigo Amostra],[1]!abril6[Ponto de fulgor])</f>
        <v>44.2</v>
      </c>
      <c r="C16">
        <f>_xlfn.XLOOKUP([1]!Tabela9[[#This Row],[Codigo ANP]],[1]!abril6[Codigo Amostra],[1]!abril6[Massa
Específica])</f>
        <v>858.2</v>
      </c>
      <c r="D16">
        <f>_xlfn.XLOOKUP([1]!Tabela9[[#This Row],[Codigo ANP]],[1]!abril6[Codigo Amostra],[1]!abril6[Teor de
Enxofre])</f>
        <v>270</v>
      </c>
    </row>
    <row r="17" spans="1:4" x14ac:dyDescent="0.3">
      <c r="A17" t="str">
        <f>[1]!Tabela9[[#This Row],[Código LEC]]&amp;".csv"</f>
        <v>35791.csv</v>
      </c>
      <c r="B17">
        <f>_xlfn.XLOOKUP([1]!Tabela9[[#This Row],[Codigo ANP]],[1]!abril6[Codigo Amostra],[1]!abril6[Ponto de fulgor])</f>
        <v>45.3</v>
      </c>
      <c r="C17">
        <f>_xlfn.XLOOKUP([1]!Tabela9[[#This Row],[Codigo ANP]],[1]!abril6[Codigo Amostra],[1]!abril6[Massa
Específica])</f>
        <v>846.7</v>
      </c>
      <c r="D17">
        <f>_xlfn.XLOOKUP([1]!Tabela9[[#This Row],[Codigo ANP]],[1]!abril6[Codigo Amostra],[1]!abril6[Teor de
Enxofre])</f>
        <v>6.4</v>
      </c>
    </row>
    <row r="18" spans="1:4" x14ac:dyDescent="0.3">
      <c r="A18" t="str">
        <f>[1]!Tabela9[[#This Row],[Código LEC]]&amp;".csv"</f>
        <v>35804.csv</v>
      </c>
      <c r="B18">
        <f>_xlfn.XLOOKUP([1]!Tabela9[[#This Row],[Codigo ANP]],[1]!abril6[Codigo Amostra],[1]!abril6[Ponto de fulgor])</f>
        <v>56</v>
      </c>
      <c r="C18">
        <f>_xlfn.XLOOKUP([1]!Tabela9[[#This Row],[Codigo ANP]],[1]!abril6[Codigo Amostra],[1]!abril6[Massa
Específica])</f>
        <v>850.7</v>
      </c>
      <c r="D18">
        <f>_xlfn.XLOOKUP([1]!Tabela9[[#This Row],[Codigo ANP]],[1]!abril6[Codigo Amostra],[1]!abril6[Teor de
Enxofre])</f>
        <v>160</v>
      </c>
    </row>
    <row r="19" spans="1:4" x14ac:dyDescent="0.3">
      <c r="A19" t="str">
        <f>[1]!Tabela9[[#This Row],[Código LEC]]&amp;".csv"</f>
        <v>35807.csv</v>
      </c>
      <c r="B19">
        <f>_xlfn.XLOOKUP([1]!Tabela9[[#This Row],[Codigo ANP]],[1]!abril6[Codigo Amostra],[1]!abril6[Ponto de fulgor])</f>
        <v>49.5</v>
      </c>
      <c r="C19">
        <f>_xlfn.XLOOKUP([1]!Tabela9[[#This Row],[Codigo ANP]],[1]!abril6[Codigo Amostra],[1]!abril6[Massa
Específica])</f>
        <v>843.7</v>
      </c>
      <c r="D19">
        <f>_xlfn.XLOOKUP([1]!Tabela9[[#This Row],[Codigo ANP]],[1]!abril6[Codigo Amostra],[1]!abril6[Teor de
Enxofre])</f>
        <v>7.2</v>
      </c>
    </row>
    <row r="20" spans="1:4" x14ac:dyDescent="0.3">
      <c r="A20" t="str">
        <f>[1]!Tabela9[[#This Row],[Código LEC]]&amp;".csv"</f>
        <v>35810.csv</v>
      </c>
      <c r="B20">
        <f>_xlfn.XLOOKUP([1]!Tabela9[[#This Row],[Codigo ANP]],[1]!abril6[Codigo Amostra],[1]!abril6[Ponto de fulgor])</f>
        <v>47.3</v>
      </c>
      <c r="C20">
        <f>_xlfn.XLOOKUP([1]!Tabela9[[#This Row],[Codigo ANP]],[1]!abril6[Codigo Amostra],[1]!abril6[Massa
Específica])</f>
        <v>847</v>
      </c>
      <c r="D20">
        <f>_xlfn.XLOOKUP([1]!Tabela9[[#This Row],[Codigo ANP]],[1]!abril6[Codigo Amostra],[1]!abril6[Teor de
Enxofre])</f>
        <v>6.5</v>
      </c>
    </row>
    <row r="21" spans="1:4" x14ac:dyDescent="0.3">
      <c r="A21" t="str">
        <f>[1]!Tabela9[[#This Row],[Código LEC]]&amp;".csv"</f>
        <v>35813.csv</v>
      </c>
      <c r="B21">
        <f>_xlfn.XLOOKUP([1]!Tabela9[[#This Row],[Codigo ANP]],[1]!abril6[Codigo Amostra],[1]!abril6[Ponto de fulgor])</f>
        <v>45.5</v>
      </c>
      <c r="C21">
        <f>_xlfn.XLOOKUP([1]!Tabela9[[#This Row],[Codigo ANP]],[1]!abril6[Codigo Amostra],[1]!abril6[Massa
Específica])</f>
        <v>850.6</v>
      </c>
      <c r="D21">
        <f>_xlfn.XLOOKUP([1]!Tabela9[[#This Row],[Codigo ANP]],[1]!abril6[Codigo Amostra],[1]!abril6[Teor de
Enxofre])</f>
        <v>150</v>
      </c>
    </row>
    <row r="22" spans="1:4" x14ac:dyDescent="0.3">
      <c r="A22" t="str">
        <f>[1]!Tabela9[[#This Row],[Código LEC]]&amp;".csv"</f>
        <v>35816.csv</v>
      </c>
      <c r="B22">
        <f>_xlfn.XLOOKUP([1]!Tabela9[[#This Row],[Codigo ANP]],[1]!abril6[Codigo Amostra],[1]!abril6[Ponto de fulgor])</f>
        <v>47.3</v>
      </c>
      <c r="C22">
        <f>_xlfn.XLOOKUP([1]!Tabela9[[#This Row],[Codigo ANP]],[1]!abril6[Codigo Amostra],[1]!abril6[Massa
Específica])</f>
        <v>862.3</v>
      </c>
      <c r="D22">
        <f>_xlfn.XLOOKUP([1]!Tabela9[[#This Row],[Codigo ANP]],[1]!abril6[Codigo Amostra],[1]!abril6[Teor de
Enxofre])</f>
        <v>310</v>
      </c>
    </row>
    <row r="23" spans="1:4" x14ac:dyDescent="0.3">
      <c r="A23" t="str">
        <f>[1]!Tabela9[[#This Row],[Código LEC]]&amp;".csv"</f>
        <v>35819.csv</v>
      </c>
      <c r="B23">
        <f>_xlfn.XLOOKUP([1]!Tabela9[[#This Row],[Codigo ANP]],[1]!abril6[Codigo Amostra],[1]!abril6[Ponto de fulgor])</f>
        <v>49.5</v>
      </c>
      <c r="C23">
        <f>_xlfn.XLOOKUP([1]!Tabela9[[#This Row],[Codigo ANP]],[1]!abril6[Codigo Amostra],[1]!abril6[Massa
Específica])</f>
        <v>859.5</v>
      </c>
      <c r="D23">
        <f>_xlfn.XLOOKUP([1]!Tabela9[[#This Row],[Codigo ANP]],[1]!abril6[Codigo Amostra],[1]!abril6[Teor de
Enxofre])</f>
        <v>220</v>
      </c>
    </row>
    <row r="24" spans="1:4" x14ac:dyDescent="0.3">
      <c r="A24" t="str">
        <f>[1]!Tabela9[[#This Row],[Código LEC]]&amp;".csv"</f>
        <v>35822.csv</v>
      </c>
      <c r="B24">
        <f>_xlfn.XLOOKUP([1]!Tabela9[[#This Row],[Codigo ANP]],[1]!abril6[Codigo Amostra],[1]!abril6[Ponto de fulgor])</f>
        <v>49.3</v>
      </c>
      <c r="C24">
        <f>_xlfn.XLOOKUP([1]!Tabela9[[#This Row],[Codigo ANP]],[1]!abril6[Codigo Amostra],[1]!abril6[Massa
Específica])</f>
        <v>833.3</v>
      </c>
      <c r="D24">
        <f>_xlfn.XLOOKUP([1]!Tabela9[[#This Row],[Codigo ANP]],[1]!abril6[Codigo Amostra],[1]!abril6[Teor de
Enxofre])</f>
        <v>3.9</v>
      </c>
    </row>
    <row r="25" spans="1:4" x14ac:dyDescent="0.3">
      <c r="A25" t="str">
        <f>[1]!Tabela9[[#This Row],[Código LEC]]&amp;".csv"</f>
        <v>35831.csv</v>
      </c>
      <c r="B25">
        <f>_xlfn.XLOOKUP([1]!Tabela9[[#This Row],[Codigo ANP]],[1]!abril6[Codigo Amostra],[1]!abril6[Ponto de fulgor])</f>
        <v>52.3</v>
      </c>
      <c r="C25">
        <f>_xlfn.XLOOKUP([1]!Tabela9[[#This Row],[Codigo ANP]],[1]!abril6[Codigo Amostra],[1]!abril6[Massa
Específica])</f>
        <v>850.9</v>
      </c>
      <c r="D25">
        <f>_xlfn.XLOOKUP([1]!Tabela9[[#This Row],[Codigo ANP]],[1]!abril6[Codigo Amostra],[1]!abril6[Teor de
Enxofre])</f>
        <v>220</v>
      </c>
    </row>
    <row r="26" spans="1:4" x14ac:dyDescent="0.3">
      <c r="A26" t="str">
        <f>[1]!Tabela9[[#This Row],[Código LEC]]&amp;".csv"</f>
        <v>35835.csv</v>
      </c>
      <c r="B26">
        <f>_xlfn.XLOOKUP([1]!Tabela9[[#This Row],[Codigo ANP]],[1]!abril6[Codigo Amostra],[1]!abril6[Ponto de fulgor])</f>
        <v>49.2</v>
      </c>
      <c r="C26">
        <f>_xlfn.XLOOKUP([1]!Tabela9[[#This Row],[Codigo ANP]],[1]!abril6[Codigo Amostra],[1]!abril6[Massa
Específica])</f>
        <v>843.6</v>
      </c>
      <c r="D26">
        <f>_xlfn.XLOOKUP([1]!Tabela9[[#This Row],[Codigo ANP]],[1]!abril6[Codigo Amostra],[1]!abril6[Teor de
Enxofre])</f>
        <v>6.2</v>
      </c>
    </row>
    <row r="27" spans="1:4" x14ac:dyDescent="0.3">
      <c r="A27" t="str">
        <f>[1]!Tabela9[[#This Row],[Código LEC]]&amp;".csv"</f>
        <v>35841.csv</v>
      </c>
      <c r="B27">
        <f>_xlfn.XLOOKUP([1]!Tabela9[[#This Row],[Codigo ANP]],[1]!abril6[Codigo Amostra],[1]!abril6[Ponto de fulgor])</f>
        <v>49.2</v>
      </c>
      <c r="C27">
        <f>_xlfn.XLOOKUP([1]!Tabela9[[#This Row],[Codigo ANP]],[1]!abril6[Codigo Amostra],[1]!abril6[Massa
Específica])</f>
        <v>860.1</v>
      </c>
      <c r="D27">
        <f>_xlfn.XLOOKUP([1]!Tabela9[[#This Row],[Codigo ANP]],[1]!abril6[Codigo Amostra],[1]!abril6[Teor de
Enxofre])</f>
        <v>340</v>
      </c>
    </row>
    <row r="28" spans="1:4" x14ac:dyDescent="0.3">
      <c r="A28" t="str">
        <f>[1]!Tabela9[[#This Row],[Código LEC]]&amp;".csv"</f>
        <v>35844.csv</v>
      </c>
      <c r="B28">
        <f>_xlfn.XLOOKUP([1]!Tabela9[[#This Row],[Codigo ANP]],[1]!abril6[Codigo Amostra],[1]!abril6[Ponto de fulgor])</f>
        <v>47.2</v>
      </c>
      <c r="C28">
        <f>_xlfn.XLOOKUP([1]!Tabela9[[#This Row],[Codigo ANP]],[1]!abril6[Codigo Amostra],[1]!abril6[Massa
Específica])</f>
        <v>859.2</v>
      </c>
      <c r="D28">
        <f>_xlfn.XLOOKUP([1]!Tabela9[[#This Row],[Codigo ANP]],[1]!abril6[Codigo Amostra],[1]!abril6[Teor de
Enxofre])</f>
        <v>330</v>
      </c>
    </row>
    <row r="29" spans="1:4" x14ac:dyDescent="0.3">
      <c r="A29" t="str">
        <f>[1]!Tabela9[[#This Row],[Código LEC]]&amp;".csv"</f>
        <v>35854.csv</v>
      </c>
      <c r="B29">
        <f>_xlfn.XLOOKUP([1]!Tabela9[[#This Row],[Codigo ANP]],[1]!abril6[Codigo Amostra],[1]!abril6[Ponto de fulgor])</f>
        <v>48.2</v>
      </c>
      <c r="C29">
        <f>_xlfn.XLOOKUP([1]!Tabela9[[#This Row],[Codigo ANP]],[1]!abril6[Codigo Amostra],[1]!abril6[Massa
Específica])</f>
        <v>859.4</v>
      </c>
      <c r="D29">
        <f>_xlfn.XLOOKUP([1]!Tabela9[[#This Row],[Codigo ANP]],[1]!abril6[Codigo Amostra],[1]!abril6[Teor de
Enxofre])</f>
        <v>390</v>
      </c>
    </row>
    <row r="30" spans="1:4" x14ac:dyDescent="0.3">
      <c r="A30" t="str">
        <f>[1]!Tabela9[[#This Row],[Código LEC]]&amp;".csv"</f>
        <v>35857.csv</v>
      </c>
      <c r="B30">
        <f>_xlfn.XLOOKUP([1]!Tabela9[[#This Row],[Codigo ANP]],[1]!abril6[Codigo Amostra],[1]!abril6[Ponto de fulgor])</f>
        <v>41.2</v>
      </c>
      <c r="C30">
        <f>_xlfn.XLOOKUP([1]!Tabela9[[#This Row],[Codigo ANP]],[1]!abril6[Codigo Amostra],[1]!abril6[Massa
Específica])</f>
        <v>838.3</v>
      </c>
      <c r="D30">
        <f>_xlfn.XLOOKUP([1]!Tabela9[[#This Row],[Codigo ANP]],[1]!abril6[Codigo Amostra],[1]!abril6[Teor de
Enxofre])</f>
        <v>9.1999999999999993</v>
      </c>
    </row>
    <row r="31" spans="1:4" x14ac:dyDescent="0.3">
      <c r="A31" t="str">
        <f>[1]!Tabela9[[#This Row],[Código LEC]]&amp;".csv"</f>
        <v>35860.csv</v>
      </c>
      <c r="B31">
        <f>_xlfn.XLOOKUP([1]!Tabela9[[#This Row],[Codigo ANP]],[1]!abril6[Codigo Amostra],[1]!abril6[Ponto de fulgor])</f>
        <v>56.3</v>
      </c>
      <c r="C31">
        <f>_xlfn.XLOOKUP([1]!Tabela9[[#This Row],[Codigo ANP]],[1]!abril6[Codigo Amostra],[1]!abril6[Massa
Específica])</f>
        <v>841.8</v>
      </c>
      <c r="D31">
        <f>_xlfn.XLOOKUP([1]!Tabela9[[#This Row],[Codigo ANP]],[1]!abril6[Codigo Amostra],[1]!abril6[Teor de
Enxofre])</f>
        <v>6.5</v>
      </c>
    </row>
    <row r="32" spans="1:4" x14ac:dyDescent="0.3">
      <c r="A32" t="str">
        <f>[1]!Tabela9[[#This Row],[Código LEC]]&amp;".csv"</f>
        <v>35863.csv</v>
      </c>
      <c r="B32">
        <f>_xlfn.XLOOKUP([1]!Tabela9[[#This Row],[Codigo ANP]],[1]!abril6[Codigo Amostra],[1]!abril6[Ponto de fulgor])</f>
        <v>54.2</v>
      </c>
      <c r="C32">
        <f>_xlfn.XLOOKUP([1]!Tabela9[[#This Row],[Codigo ANP]],[1]!abril6[Codigo Amostra],[1]!abril6[Massa
Específica])</f>
        <v>847.8</v>
      </c>
      <c r="D32">
        <f>_xlfn.XLOOKUP([1]!Tabela9[[#This Row],[Codigo ANP]],[1]!abril6[Codigo Amostra],[1]!abril6[Teor de
Enxofre])</f>
        <v>6.9</v>
      </c>
    </row>
    <row r="33" spans="1:4" x14ac:dyDescent="0.3">
      <c r="A33" t="str">
        <f>[1]!Tabela9[[#This Row],[Código LEC]]&amp;".csv"</f>
        <v>35866.csv</v>
      </c>
      <c r="B33">
        <f>_xlfn.XLOOKUP([1]!Tabela9[[#This Row],[Codigo ANP]],[1]!abril6[Codigo Amostra],[1]!abril6[Ponto de fulgor])</f>
        <v>49.2</v>
      </c>
      <c r="C33">
        <f>_xlfn.XLOOKUP([1]!Tabela9[[#This Row],[Codigo ANP]],[1]!abril6[Codigo Amostra],[1]!abril6[Massa
Específica])</f>
        <v>859.7</v>
      </c>
      <c r="D33">
        <f>_xlfn.XLOOKUP([1]!Tabela9[[#This Row],[Codigo ANP]],[1]!abril6[Codigo Amostra],[1]!abril6[Teor de
Enxofre])</f>
        <v>270</v>
      </c>
    </row>
    <row r="34" spans="1:4" x14ac:dyDescent="0.3">
      <c r="A34" t="str">
        <f>[1]!Tabela9[[#This Row],[Código LEC]]&amp;".csv"</f>
        <v>35869.csv</v>
      </c>
      <c r="B34">
        <f>_xlfn.XLOOKUP([1]!Tabela9[[#This Row],[Codigo ANP]],[1]!abril6[Codigo Amostra],[1]!abril6[Ponto de fulgor])</f>
        <v>44.5</v>
      </c>
      <c r="C34">
        <f>_xlfn.XLOOKUP([1]!Tabela9[[#This Row],[Codigo ANP]],[1]!abril6[Codigo Amostra],[1]!abril6[Massa
Específica])</f>
        <v>845.9</v>
      </c>
      <c r="D34">
        <f>_xlfn.XLOOKUP([1]!Tabela9[[#This Row],[Codigo ANP]],[1]!abril6[Codigo Amostra],[1]!abril6[Teor de
Enxofre])</f>
        <v>90</v>
      </c>
    </row>
    <row r="35" spans="1:4" x14ac:dyDescent="0.3">
      <c r="A35" t="str">
        <f>[1]!Tabela9[[#This Row],[Código LEC]]&amp;".csv"</f>
        <v>35876.csv</v>
      </c>
      <c r="B35">
        <f>_xlfn.XLOOKUP([1]!Tabela9[[#This Row],[Codigo ANP]],[1]!abril6[Codigo Amostra],[1]!abril6[Ponto de fulgor])</f>
        <v>51.8</v>
      </c>
      <c r="C35">
        <f>_xlfn.XLOOKUP([1]!Tabela9[[#This Row],[Codigo ANP]],[1]!abril6[Codigo Amostra],[1]!abril6[Massa
Específica])</f>
        <v>837.9</v>
      </c>
      <c r="D35">
        <f>_xlfn.XLOOKUP([1]!Tabela9[[#This Row],[Codigo ANP]],[1]!abril6[Codigo Amostra],[1]!abril6[Teor de
Enxofre])</f>
        <v>5.6</v>
      </c>
    </row>
    <row r="36" spans="1:4" x14ac:dyDescent="0.3">
      <c r="A36" t="str">
        <f>[1]!Tabela9[[#This Row],[Código LEC]]&amp;".csv"</f>
        <v>35879.csv</v>
      </c>
      <c r="B36">
        <f>_xlfn.XLOOKUP([1]!Tabela9[[#This Row],[Codigo ANP]],[1]!abril6[Codigo Amostra],[1]!abril6[Ponto de fulgor])</f>
        <v>44.2</v>
      </c>
      <c r="C36">
        <f>_xlfn.XLOOKUP([1]!Tabela9[[#This Row],[Codigo ANP]],[1]!abril6[Codigo Amostra],[1]!abril6[Massa
Específica])</f>
        <v>844.8</v>
      </c>
      <c r="D36">
        <f>_xlfn.XLOOKUP([1]!Tabela9[[#This Row],[Codigo ANP]],[1]!abril6[Codigo Amostra],[1]!abril6[Teor de
Enxofre])</f>
        <v>130</v>
      </c>
    </row>
    <row r="37" spans="1:4" x14ac:dyDescent="0.3">
      <c r="A37" t="str">
        <f>[1]!Tabela9[[#This Row],[Código LEC]]&amp;".csv"</f>
        <v>35888.csv</v>
      </c>
      <c r="B37">
        <f>_xlfn.XLOOKUP([1]!Tabela9[[#This Row],[Codigo ANP]],[1]!abril6[Codigo Amostra],[1]!abril6[Ponto de fulgor])</f>
        <v>44.5</v>
      </c>
      <c r="C37">
        <f>_xlfn.XLOOKUP([1]!Tabela9[[#This Row],[Codigo ANP]],[1]!abril6[Codigo Amostra],[1]!abril6[Massa
Específica])</f>
        <v>845</v>
      </c>
      <c r="D37">
        <f>_xlfn.XLOOKUP([1]!Tabela9[[#This Row],[Codigo ANP]],[1]!abril6[Codigo Amostra],[1]!abril6[Teor de
Enxofre])</f>
        <v>100</v>
      </c>
    </row>
    <row r="38" spans="1:4" x14ac:dyDescent="0.3">
      <c r="A38" t="str">
        <f>[1]!Tabela9[[#This Row],[Código LEC]]&amp;".csv"</f>
        <v>35891.csv</v>
      </c>
      <c r="B38">
        <f>_xlfn.XLOOKUP([1]!Tabela9[[#This Row],[Codigo ANP]],[1]!abril6[Codigo Amostra],[1]!abril6[Ponto de fulgor])</f>
        <v>44.2</v>
      </c>
      <c r="C38">
        <f>_xlfn.XLOOKUP([1]!Tabela9[[#This Row],[Codigo ANP]],[1]!abril6[Codigo Amostra],[1]!abril6[Massa
Específica])</f>
        <v>838.7</v>
      </c>
      <c r="D38">
        <f>_xlfn.XLOOKUP([1]!Tabela9[[#This Row],[Codigo ANP]],[1]!abril6[Codigo Amostra],[1]!abril6[Teor de
Enxofre])</f>
        <v>3.8</v>
      </c>
    </row>
    <row r="39" spans="1:4" x14ac:dyDescent="0.3">
      <c r="A39" t="str">
        <f>[1]!Tabela9[[#This Row],[Código LEC]]&amp;".csv"</f>
        <v>35895.csv</v>
      </c>
      <c r="B39">
        <f>_xlfn.XLOOKUP([1]!Tabela9[[#This Row],[Codigo ANP]],[1]!abril6[Codigo Amostra],[1]!abril6[Ponto de fulgor])</f>
        <v>49.5</v>
      </c>
      <c r="C39">
        <f>_xlfn.XLOOKUP([1]!Tabela9[[#This Row],[Codigo ANP]],[1]!abril6[Codigo Amostra],[1]!abril6[Massa
Específica])</f>
        <v>856.2</v>
      </c>
      <c r="D39">
        <f>_xlfn.XLOOKUP([1]!Tabela9[[#This Row],[Codigo ANP]],[1]!abril6[Codigo Amostra],[1]!abril6[Teor de
Enxofre])</f>
        <v>220</v>
      </c>
    </row>
    <row r="40" spans="1:4" x14ac:dyDescent="0.3">
      <c r="A40" t="str">
        <f>[1]!Tabela9[[#This Row],[Código LEC]]&amp;".csv"</f>
        <v>35901.csv</v>
      </c>
      <c r="B40">
        <f>_xlfn.XLOOKUP([1]!Tabela9[[#This Row],[Codigo ANP]],[1]!abril6[Codigo Amostra],[1]!abril6[Ponto de fulgor])</f>
        <v>48.5</v>
      </c>
      <c r="C40">
        <f>_xlfn.XLOOKUP([1]!Tabela9[[#This Row],[Codigo ANP]],[1]!abril6[Codigo Amostra],[1]!abril6[Massa
Específica])</f>
        <v>837.2</v>
      </c>
      <c r="D40">
        <f>_xlfn.XLOOKUP([1]!Tabela9[[#This Row],[Codigo ANP]],[1]!abril6[Codigo Amostra],[1]!abril6[Teor de
Enxofre])</f>
        <v>4.9000000000000004</v>
      </c>
    </row>
    <row r="41" spans="1:4" x14ac:dyDescent="0.3">
      <c r="A41" t="str">
        <f>[1]!Tabela9[[#This Row],[Código LEC]]&amp;".csv"</f>
        <v>35904.csv</v>
      </c>
      <c r="B41">
        <f>_xlfn.XLOOKUP([1]!Tabela9[[#This Row],[Codigo ANP]],[1]!abril6[Codigo Amostra],[1]!abril6[Ponto de fulgor])</f>
        <v>29.1</v>
      </c>
      <c r="C41">
        <f>_xlfn.XLOOKUP([1]!Tabela9[[#This Row],[Codigo ANP]],[1]!abril6[Codigo Amostra],[1]!abril6[Massa
Específica])</f>
        <v>837.2</v>
      </c>
      <c r="D41">
        <f>_xlfn.XLOOKUP([1]!Tabela9[[#This Row],[Codigo ANP]],[1]!abril6[Codigo Amostra],[1]!abril6[Teor de
Enxofre])</f>
        <v>5.8</v>
      </c>
    </row>
    <row r="42" spans="1:4" x14ac:dyDescent="0.3">
      <c r="A42" t="str">
        <f>[1]!Tabela9[[#This Row],[Código LEC]]&amp;".csv"</f>
        <v>35914.csv</v>
      </c>
      <c r="B42">
        <f>_xlfn.XLOOKUP([1]!Tabela9[[#This Row],[Codigo ANP]],[1]!abril6[Codigo Amostra],[1]!abril6[Ponto de fulgor])</f>
        <v>42</v>
      </c>
      <c r="C42">
        <f>_xlfn.XLOOKUP([1]!Tabela9[[#This Row],[Codigo ANP]],[1]!abril6[Codigo Amostra],[1]!abril6[Massa
Específica])</f>
        <v>844.6</v>
      </c>
      <c r="D42">
        <f>_xlfn.XLOOKUP([1]!Tabela9[[#This Row],[Codigo ANP]],[1]!abril6[Codigo Amostra],[1]!abril6[Teor de
Enxofre])</f>
        <v>63</v>
      </c>
    </row>
    <row r="43" spans="1:4" x14ac:dyDescent="0.3">
      <c r="A43" t="str">
        <f>[1]!Tabela9[[#This Row],[Código LEC]]&amp;".csv"</f>
        <v>35917.csv</v>
      </c>
      <c r="B43">
        <f>_xlfn.XLOOKUP([1]!Tabela9[[#This Row],[Codigo ANP]],[1]!abril6[Codigo Amostra],[1]!abril6[Ponto de fulgor])</f>
        <v>44.2</v>
      </c>
      <c r="C43">
        <f>_xlfn.XLOOKUP([1]!Tabela9[[#This Row],[Codigo ANP]],[1]!abril6[Codigo Amostra],[1]!abril6[Massa
Específica])</f>
        <v>838</v>
      </c>
      <c r="D43">
        <f>_xlfn.XLOOKUP([1]!Tabela9[[#This Row],[Codigo ANP]],[1]!abril6[Codigo Amostra],[1]!abril6[Teor de
Enxofre])</f>
        <v>3.8</v>
      </c>
    </row>
    <row r="44" spans="1:4" x14ac:dyDescent="0.3">
      <c r="A44" t="str">
        <f>[1]!Tabela9[[#This Row],[Código LEC]]&amp;".csv"</f>
        <v>35923.csv</v>
      </c>
      <c r="B44">
        <f>_xlfn.XLOOKUP([1]!Tabela9[[#This Row],[Codigo ANP]],[1]!abril6[Codigo Amostra],[1]!abril6[Ponto de fulgor])</f>
        <v>45.2</v>
      </c>
      <c r="C44">
        <f>_xlfn.XLOOKUP([1]!Tabela9[[#This Row],[Codigo ANP]],[1]!abril6[Codigo Amostra],[1]!abril6[Massa
Específica])</f>
        <v>842.4</v>
      </c>
      <c r="D44">
        <f>_xlfn.XLOOKUP([1]!Tabela9[[#This Row],[Codigo ANP]],[1]!abril6[Codigo Amostra],[1]!abril6[Teor de
Enxofre])</f>
        <v>66</v>
      </c>
    </row>
    <row r="45" spans="1:4" x14ac:dyDescent="0.3">
      <c r="A45" t="str">
        <f>[1]!Tabela9[[#This Row],[Código LEC]]&amp;".csv"</f>
        <v>35926.csv</v>
      </c>
      <c r="B45">
        <f>_xlfn.XLOOKUP([1]!Tabela9[[#This Row],[Codigo ANP]],[1]!abril6[Codigo Amostra],[1]!abril6[Ponto de fulgor])</f>
        <v>49.1</v>
      </c>
      <c r="C45">
        <f>_xlfn.XLOOKUP([1]!Tabela9[[#This Row],[Codigo ANP]],[1]!abril6[Codigo Amostra],[1]!abril6[Massa
Específica])</f>
        <v>858.8</v>
      </c>
      <c r="D45">
        <f>_xlfn.XLOOKUP([1]!Tabela9[[#This Row],[Codigo ANP]],[1]!abril6[Codigo Amostra],[1]!abril6[Teor de
Enxofre])</f>
        <v>210</v>
      </c>
    </row>
    <row r="46" spans="1:4" x14ac:dyDescent="0.3">
      <c r="A46" t="str">
        <f>[1]!Tabela9[[#This Row],[Código LEC]]&amp;".csv"</f>
        <v>35932.csv</v>
      </c>
      <c r="B46">
        <f>_xlfn.XLOOKUP([1]!Tabela9[[#This Row],[Codigo ANP]],[1]!abril6[Codigo Amostra],[1]!abril6[Ponto de fulgor])</f>
        <v>48.1</v>
      </c>
      <c r="C46">
        <f>_xlfn.XLOOKUP([1]!Tabela9[[#This Row],[Codigo ANP]],[1]!abril6[Codigo Amostra],[1]!abril6[Massa
Específica])</f>
        <v>860.6</v>
      </c>
      <c r="D46">
        <f>_xlfn.XLOOKUP([1]!Tabela9[[#This Row],[Codigo ANP]],[1]!abril6[Codigo Amostra],[1]!abril6[Teor de
Enxofre])</f>
        <v>240</v>
      </c>
    </row>
    <row r="47" spans="1:4" x14ac:dyDescent="0.3">
      <c r="A47" t="str">
        <f>[1]!Tabela9[[#This Row],[Código LEC]]&amp;".csv"</f>
        <v>35935.csv</v>
      </c>
      <c r="B47">
        <f>_xlfn.XLOOKUP([1]!Tabela9[[#This Row],[Codigo ANP]],[1]!abril6[Codigo Amostra],[1]!abril6[Ponto de fulgor])</f>
        <v>46</v>
      </c>
      <c r="C47">
        <f>_xlfn.XLOOKUP([1]!Tabela9[[#This Row],[Codigo ANP]],[1]!abril6[Codigo Amostra],[1]!abril6[Massa
Específica])</f>
        <v>847</v>
      </c>
      <c r="D47">
        <f>_xlfn.XLOOKUP([1]!Tabela9[[#This Row],[Codigo ANP]],[1]!abril6[Codigo Amostra],[1]!abril6[Teor de
Enxofre])</f>
        <v>6.6</v>
      </c>
    </row>
    <row r="48" spans="1:4" x14ac:dyDescent="0.3">
      <c r="A48" t="str">
        <f>[1]!Tabela9[[#This Row],[Código LEC]]&amp;".csv"</f>
        <v>35938.csv</v>
      </c>
      <c r="B48">
        <f>_xlfn.XLOOKUP([1]!Tabela9[[#This Row],[Codigo ANP]],[1]!abril6[Codigo Amostra],[1]!abril6[Ponto de fulgor])</f>
        <v>39.6</v>
      </c>
      <c r="C48">
        <f>_xlfn.XLOOKUP([1]!Tabela9[[#This Row],[Codigo ANP]],[1]!abril6[Codigo Amostra],[1]!abril6[Massa
Específica])</f>
        <v>859.3</v>
      </c>
      <c r="D48">
        <f>_xlfn.XLOOKUP([1]!Tabela9[[#This Row],[Codigo ANP]],[1]!abril6[Codigo Amostra],[1]!abril6[Teor de
Enxofre])</f>
        <v>100</v>
      </c>
    </row>
    <row r="49" spans="1:4" x14ac:dyDescent="0.3">
      <c r="A49" t="str">
        <f>[1]!Tabela9[[#This Row],[Código LEC]]&amp;".csv"</f>
        <v>35941.csv</v>
      </c>
      <c r="B49">
        <f>_xlfn.XLOOKUP([1]!Tabela9[[#This Row],[Codigo ANP]],[1]!abril6[Codigo Amostra],[1]!abril6[Ponto de fulgor])</f>
        <v>52.6</v>
      </c>
      <c r="C49">
        <f>_xlfn.XLOOKUP([1]!Tabela9[[#This Row],[Codigo ANP]],[1]!abril6[Codigo Amostra],[1]!abril6[Massa
Específica])</f>
        <v>859.7</v>
      </c>
      <c r="D49">
        <f>_xlfn.XLOOKUP([1]!Tabela9[[#This Row],[Codigo ANP]],[1]!abril6[Codigo Amostra],[1]!abril6[Teor de
Enxofre])</f>
        <v>260</v>
      </c>
    </row>
    <row r="50" spans="1:4" x14ac:dyDescent="0.3">
      <c r="A50" t="str">
        <f>[1]!Tabela9[[#This Row],[Código LEC]]&amp;".csv"</f>
        <v>35944.csv</v>
      </c>
      <c r="B50">
        <f>_xlfn.XLOOKUP([1]!Tabela9[[#This Row],[Codigo ANP]],[1]!abril6[Codigo Amostra],[1]!abril6[Ponto de fulgor])</f>
        <v>50</v>
      </c>
      <c r="C50">
        <f>_xlfn.XLOOKUP([1]!Tabela9[[#This Row],[Codigo ANP]],[1]!abril6[Codigo Amostra],[1]!abril6[Massa
Específica])</f>
        <v>845</v>
      </c>
      <c r="D50">
        <f>_xlfn.XLOOKUP([1]!Tabela9[[#This Row],[Codigo ANP]],[1]!abril6[Codigo Amostra],[1]!abril6[Teor de
Enxofre])</f>
        <v>7.6</v>
      </c>
    </row>
    <row r="51" spans="1:4" x14ac:dyDescent="0.3">
      <c r="A51" t="str">
        <f>[1]!Tabela9[[#This Row],[Código LEC]]&amp;".csv"</f>
        <v>35952.csv</v>
      </c>
      <c r="B51">
        <f>_xlfn.XLOOKUP([1]!Tabela9[[#This Row],[Codigo ANP]],[1]!abril6[Codigo Amostra],[1]!abril6[Ponto de fulgor])</f>
        <v>55</v>
      </c>
      <c r="C51">
        <f>_xlfn.XLOOKUP([1]!Tabela9[[#This Row],[Codigo ANP]],[1]!abril6[Codigo Amostra],[1]!abril6[Massa
Específica])</f>
        <v>859.8</v>
      </c>
      <c r="D51">
        <f>_xlfn.XLOOKUP([1]!Tabela9[[#This Row],[Codigo ANP]],[1]!abril6[Codigo Amostra],[1]!abril6[Teor de
Enxofre])</f>
        <v>230</v>
      </c>
    </row>
    <row r="52" spans="1:4" x14ac:dyDescent="0.3">
      <c r="A52" t="str">
        <f>[1]!Tabela9[[#This Row],[Código LEC]]&amp;".csv"</f>
        <v>35964.csv</v>
      </c>
      <c r="B52">
        <f>_xlfn.XLOOKUP([1]!Tabela9[[#This Row],[Codigo ANP]],[1]!abril6[Codigo Amostra],[1]!abril6[Ponto de fulgor])</f>
        <v>46</v>
      </c>
      <c r="C52">
        <f>_xlfn.XLOOKUP([1]!Tabela9[[#This Row],[Codigo ANP]],[1]!abril6[Codigo Amostra],[1]!abril6[Massa
Específica])</f>
        <v>842.9</v>
      </c>
      <c r="D52">
        <f>_xlfn.XLOOKUP([1]!Tabela9[[#This Row],[Codigo ANP]],[1]!abril6[Codigo Amostra],[1]!abril6[Teor de
Enxofre])</f>
        <v>78</v>
      </c>
    </row>
    <row r="53" spans="1:4" x14ac:dyDescent="0.3">
      <c r="A53" t="str">
        <f>[1]!Tabela9[[#This Row],[Código LEC]]&amp;".csv"</f>
        <v>35967.csv</v>
      </c>
      <c r="B53">
        <f>_xlfn.XLOOKUP([1]!Tabela9[[#This Row],[Codigo ANP]],[1]!abril6[Codigo Amostra],[1]!abril6[Ponto de fulgor])</f>
        <v>44</v>
      </c>
      <c r="C53">
        <f>_xlfn.XLOOKUP([1]!Tabela9[[#This Row],[Codigo ANP]],[1]!abril6[Codigo Amostra],[1]!abril6[Massa
Específica])</f>
        <v>845.5</v>
      </c>
      <c r="D53">
        <f>_xlfn.XLOOKUP([1]!Tabela9[[#This Row],[Codigo ANP]],[1]!abril6[Codigo Amostra],[1]!abril6[Teor de
Enxofre])</f>
        <v>72</v>
      </c>
    </row>
    <row r="54" spans="1:4" x14ac:dyDescent="0.3">
      <c r="A54" t="str">
        <f>[1]!Tabela9[[#This Row],[Código LEC]]&amp;".csv"</f>
        <v>35970.csv</v>
      </c>
      <c r="B54">
        <f>_xlfn.XLOOKUP([1]!Tabela9[[#This Row],[Codigo ANP]],[1]!abril6[Codigo Amostra],[1]!abril6[Ponto de fulgor])</f>
        <v>48</v>
      </c>
      <c r="C54">
        <f>_xlfn.XLOOKUP([1]!Tabela9[[#This Row],[Codigo ANP]],[1]!abril6[Codigo Amostra],[1]!abril6[Massa
Específica])</f>
        <v>844.3</v>
      </c>
      <c r="D54">
        <f>_xlfn.XLOOKUP([1]!Tabela9[[#This Row],[Codigo ANP]],[1]!abril6[Codigo Amostra],[1]!abril6[Teor de
Enxofre])</f>
        <v>63</v>
      </c>
    </row>
    <row r="55" spans="1:4" x14ac:dyDescent="0.3">
      <c r="A55" t="str">
        <f>[1]!Tabela9[[#This Row],[Código LEC]]&amp;".csv"</f>
        <v>35973.csv</v>
      </c>
      <c r="B55">
        <f>_xlfn.XLOOKUP([1]!Tabela9[[#This Row],[Codigo ANP]],[1]!abril6[Codigo Amostra],[1]!abril6[Ponto de fulgor])</f>
        <v>47</v>
      </c>
      <c r="C55">
        <f>_xlfn.XLOOKUP([1]!Tabela9[[#This Row],[Codigo ANP]],[1]!abril6[Codigo Amostra],[1]!abril6[Massa
Específica])</f>
        <v>838.6</v>
      </c>
      <c r="D55">
        <f>_xlfn.XLOOKUP([1]!Tabela9[[#This Row],[Codigo ANP]],[1]!abril6[Codigo Amostra],[1]!abril6[Teor de
Enxofre])</f>
        <v>4.5999999999999996</v>
      </c>
    </row>
    <row r="56" spans="1:4" x14ac:dyDescent="0.3">
      <c r="A56" t="str">
        <f>[1]!Tabela9[[#This Row],[Código LEC]]&amp;".csv"</f>
        <v>35979.csv</v>
      </c>
      <c r="B56">
        <f>_xlfn.XLOOKUP([1]!Tabela9[[#This Row],[Codigo ANP]],[1]!abril6[Codigo Amostra],[1]!abril6[Ponto de fulgor])</f>
        <v>40.5</v>
      </c>
      <c r="C56">
        <f>_xlfn.XLOOKUP([1]!Tabela9[[#This Row],[Codigo ANP]],[1]!abril6[Codigo Amostra],[1]!abril6[Massa
Específica])</f>
        <v>838.3</v>
      </c>
      <c r="D56">
        <f>_xlfn.XLOOKUP([1]!Tabela9[[#This Row],[Codigo ANP]],[1]!abril6[Codigo Amostra],[1]!abril6[Teor de
Enxofre])</f>
        <v>4</v>
      </c>
    </row>
    <row r="57" spans="1:4" x14ac:dyDescent="0.3">
      <c r="A57" t="str">
        <f>[1]!Tabela9[[#This Row],[Código LEC]]&amp;".csv"</f>
        <v>35982.csv</v>
      </c>
      <c r="B57">
        <f>_xlfn.XLOOKUP([1]!Tabela9[[#This Row],[Codigo ANP]],[1]!abril6[Codigo Amostra],[1]!abril6[Ponto de fulgor])</f>
        <v>47.5</v>
      </c>
      <c r="C57">
        <f>_xlfn.XLOOKUP([1]!Tabela9[[#This Row],[Codigo ANP]],[1]!abril6[Codigo Amostra],[1]!abril6[Massa
Específica])</f>
        <v>844.6</v>
      </c>
      <c r="D57">
        <f>_xlfn.XLOOKUP([1]!Tabela9[[#This Row],[Codigo ANP]],[1]!abril6[Codigo Amostra],[1]!abril6[Teor de
Enxofre])</f>
        <v>62</v>
      </c>
    </row>
    <row r="58" spans="1:4" x14ac:dyDescent="0.3">
      <c r="A58" t="str">
        <f>[1]!Tabela9[[#This Row],[Código LEC]]&amp;".csv"</f>
        <v>35985.csv</v>
      </c>
      <c r="B58">
        <f>_xlfn.XLOOKUP([1]!Tabela9[[#This Row],[Codigo ANP]],[1]!abril6[Codigo Amostra],[1]!abril6[Ponto de fulgor])</f>
        <v>29.3</v>
      </c>
      <c r="C58">
        <f>_xlfn.XLOOKUP([1]!Tabela9[[#This Row],[Codigo ANP]],[1]!abril6[Codigo Amostra],[1]!abril6[Massa
Específica])</f>
        <v>842.5</v>
      </c>
      <c r="D58">
        <f>_xlfn.XLOOKUP([1]!Tabela9[[#This Row],[Codigo ANP]],[1]!abril6[Codigo Amostra],[1]!abril6[Teor de
Enxofre])</f>
        <v>81</v>
      </c>
    </row>
    <row r="59" spans="1:4" x14ac:dyDescent="0.3">
      <c r="A59" t="str">
        <f>[1]!Tabela9[[#This Row],[Código LEC]]&amp;".csv"</f>
        <v>35989.csv</v>
      </c>
      <c r="B59">
        <f>_xlfn.XLOOKUP([1]!Tabela9[[#This Row],[Codigo ANP]],[1]!abril6[Codigo Amostra],[1]!abril6[Ponto de fulgor])</f>
        <v>20.9</v>
      </c>
      <c r="C59">
        <f>_xlfn.XLOOKUP([1]!Tabela9[[#This Row],[Codigo ANP]],[1]!abril6[Codigo Amostra],[1]!abril6[Massa
Específica])</f>
        <v>836.7</v>
      </c>
      <c r="D59">
        <f>_xlfn.XLOOKUP([1]!Tabela9[[#This Row],[Codigo ANP]],[1]!abril6[Codigo Amostra],[1]!abril6[Teor de
Enxofre])</f>
        <v>4.3</v>
      </c>
    </row>
    <row r="60" spans="1:4" x14ac:dyDescent="0.3">
      <c r="A60" t="str">
        <f>[1]!Tabela9[[#This Row],[Código LEC]]&amp;".csv"</f>
        <v>35993.csv</v>
      </c>
      <c r="B60">
        <f>_xlfn.XLOOKUP([1]!Tabela9[[#This Row],[Codigo ANP]],[1]!abril6[Codigo Amostra],[1]!abril6[Ponto de fulgor])</f>
        <v>46.5</v>
      </c>
      <c r="C60">
        <f>_xlfn.XLOOKUP([1]!Tabela9[[#This Row],[Codigo ANP]],[1]!abril6[Codigo Amostra],[1]!abril6[Massa
Específica])</f>
        <v>846.1</v>
      </c>
      <c r="D60">
        <f>_xlfn.XLOOKUP([1]!Tabela9[[#This Row],[Codigo ANP]],[1]!abril6[Codigo Amostra],[1]!abril6[Teor de
Enxofre])</f>
        <v>120</v>
      </c>
    </row>
    <row r="61" spans="1:4" x14ac:dyDescent="0.3">
      <c r="A61" t="str">
        <f>[1]!Tabela9[[#This Row],[Código LEC]]&amp;".csv"</f>
        <v>36333.csv</v>
      </c>
      <c r="B61">
        <f>_xlfn.XLOOKUP([1]!Tabela9[[#This Row],[Codigo ANP]],[1]!abril6[Codigo Amostra],[1]!abril6[Ponto de fulgor])</f>
        <v>47.5</v>
      </c>
      <c r="C61">
        <f>_xlfn.XLOOKUP([1]!Tabela9[[#This Row],[Codigo ANP]],[1]!abril6[Codigo Amostra],[1]!abril6[Massa
Específica])</f>
        <v>838.1</v>
      </c>
      <c r="D61">
        <f>_xlfn.XLOOKUP([1]!Tabela9[[#This Row],[Codigo ANP]],[1]!abril6[Codigo Amostra],[1]!abril6[Teor de
Enxofre])</f>
        <v>9.3000000000000007</v>
      </c>
    </row>
    <row r="62" spans="1:4" x14ac:dyDescent="0.3">
      <c r="A62" t="str">
        <f>[1]!Tabela9[[#This Row],[Código LEC]]&amp;".csv"</f>
        <v>36336.csv</v>
      </c>
      <c r="B62">
        <f>_xlfn.XLOOKUP([1]!Tabela9[[#This Row],[Codigo ANP]],[1]!abril6[Codigo Amostra],[1]!abril6[Ponto de fulgor])</f>
        <v>50.2</v>
      </c>
      <c r="C62">
        <f>_xlfn.XLOOKUP([1]!Tabela9[[#This Row],[Codigo ANP]],[1]!abril6[Codigo Amostra],[1]!abril6[Massa
Específica])</f>
        <v>846.5</v>
      </c>
      <c r="D62">
        <f>_xlfn.XLOOKUP([1]!Tabela9[[#This Row],[Codigo ANP]],[1]!abril6[Codigo Amostra],[1]!abril6[Teor de
Enxofre])</f>
        <v>7.4</v>
      </c>
    </row>
    <row r="63" spans="1:4" x14ac:dyDescent="0.3">
      <c r="A63" t="str">
        <f>[1]!Tabela9[[#This Row],[Código LEC]]&amp;".csv"</f>
        <v>36339.csv</v>
      </c>
      <c r="B63">
        <f>_xlfn.XLOOKUP([1]!Tabela9[[#This Row],[Codigo ANP]],[1]!abril6[Codigo Amostra],[1]!abril6[Ponto de fulgor])</f>
        <v>49.5</v>
      </c>
      <c r="C63">
        <f>_xlfn.XLOOKUP([1]!Tabela9[[#This Row],[Codigo ANP]],[1]!abril6[Codigo Amostra],[1]!abril6[Massa
Específica])</f>
        <v>847.5</v>
      </c>
      <c r="D63">
        <f>_xlfn.XLOOKUP([1]!Tabela9[[#This Row],[Codigo ANP]],[1]!abril6[Codigo Amostra],[1]!abril6[Teor de
Enxofre])</f>
        <v>7.2</v>
      </c>
    </row>
    <row r="64" spans="1:4" x14ac:dyDescent="0.3">
      <c r="A64" t="str">
        <f>[1]!Tabela9[[#This Row],[Código LEC]]&amp;".csv"</f>
        <v>36342.csv</v>
      </c>
      <c r="B64">
        <f>_xlfn.XLOOKUP([1]!Tabela9[[#This Row],[Codigo ANP]],[1]!abril6[Codigo Amostra],[1]!abril6[Ponto de fulgor])</f>
        <v>42.5</v>
      </c>
      <c r="C64">
        <f>_xlfn.XLOOKUP([1]!Tabela9[[#This Row],[Codigo ANP]],[1]!abril6[Codigo Amostra],[1]!abril6[Massa
Específica])</f>
        <v>845.8</v>
      </c>
      <c r="D64">
        <f>_xlfn.XLOOKUP([1]!Tabela9[[#This Row],[Codigo ANP]],[1]!abril6[Codigo Amostra],[1]!abril6[Teor de
Enxofre])</f>
        <v>220</v>
      </c>
    </row>
    <row r="65" spans="1:4" x14ac:dyDescent="0.3">
      <c r="A65" t="str">
        <f>[1]!Tabela9[[#This Row],[Código LEC]]&amp;".csv"</f>
        <v>36351.csv</v>
      </c>
      <c r="B65">
        <f>_xlfn.XLOOKUP([1]!Tabela9[[#This Row],[Codigo ANP]],[1]!abril6[Codigo Amostra],[1]!abril6[Ponto de fulgor])</f>
        <v>54.5</v>
      </c>
      <c r="C65">
        <f>_xlfn.XLOOKUP([1]!Tabela9[[#This Row],[Codigo ANP]],[1]!abril6[Codigo Amostra],[1]!abril6[Massa
Específica])</f>
        <v>840.9</v>
      </c>
      <c r="D65">
        <f>_xlfn.XLOOKUP([1]!Tabela9[[#This Row],[Codigo ANP]],[1]!abril6[Codigo Amostra],[1]!abril6[Teor de
Enxofre])</f>
        <v>190</v>
      </c>
    </row>
    <row r="66" spans="1:4" x14ac:dyDescent="0.3">
      <c r="A66" t="str">
        <f>[1]!Tabela9[[#This Row],[Código LEC]]&amp;".csv"</f>
        <v>36354.csv</v>
      </c>
      <c r="B66">
        <f>_xlfn.XLOOKUP([1]!Tabela9[[#This Row],[Codigo ANP]],[1]!abril6[Codigo Amostra],[1]!abril6[Ponto de fulgor])</f>
        <v>50.2</v>
      </c>
      <c r="C66">
        <f>_xlfn.XLOOKUP([1]!Tabela9[[#This Row],[Codigo ANP]],[1]!abril6[Codigo Amostra],[1]!abril6[Massa
Específica])</f>
        <v>839.6</v>
      </c>
      <c r="D66">
        <f>_xlfn.XLOOKUP([1]!Tabela9[[#This Row],[Codigo ANP]],[1]!abril6[Codigo Amostra],[1]!abril6[Teor de
Enxofre])</f>
        <v>230</v>
      </c>
    </row>
    <row r="67" spans="1:4" x14ac:dyDescent="0.3">
      <c r="A67" t="str">
        <f>[1]!Tabela9[[#This Row],[Código LEC]]&amp;".csv"</f>
        <v>36361.csv</v>
      </c>
      <c r="B67">
        <f>_xlfn.XLOOKUP([1]!Tabela9[[#This Row],[Codigo ANP]],[1]!abril6[Codigo Amostra],[1]!abril6[Ponto de fulgor])</f>
        <v>46.2</v>
      </c>
      <c r="C67">
        <f>_xlfn.XLOOKUP([1]!Tabela9[[#This Row],[Codigo ANP]],[1]!abril6[Codigo Amostra],[1]!abril6[Massa
Específica])</f>
        <v>860.2</v>
      </c>
      <c r="D67">
        <f>_xlfn.XLOOKUP([1]!Tabela9[[#This Row],[Codigo ANP]],[1]!abril6[Codigo Amostra],[1]!abril6[Teor de
Enxofre])</f>
        <v>330</v>
      </c>
    </row>
    <row r="68" spans="1:4" x14ac:dyDescent="0.3">
      <c r="A68" t="str">
        <f>[1]!Tabela9[[#This Row],[Código LEC]]&amp;".csv"</f>
        <v>36364.csv</v>
      </c>
      <c r="B68">
        <f>_xlfn.XLOOKUP([1]!Tabela9[[#This Row],[Codigo ANP]],[1]!abril6[Codigo Amostra],[1]!abril6[Ponto de fulgor])</f>
        <v>53.3</v>
      </c>
      <c r="C68">
        <f>_xlfn.XLOOKUP([1]!Tabela9[[#This Row],[Codigo ANP]],[1]!abril6[Codigo Amostra],[1]!abril6[Massa
Específica])</f>
        <v>840</v>
      </c>
      <c r="D68">
        <f>_xlfn.XLOOKUP([1]!Tabela9[[#This Row],[Codigo ANP]],[1]!abril6[Codigo Amostra],[1]!abril6[Teor de
Enxofre])</f>
        <v>400</v>
      </c>
    </row>
    <row r="69" spans="1:4" x14ac:dyDescent="0.3">
      <c r="A69" t="str">
        <f>[1]!Tabela9[[#This Row],[Código LEC]]&amp;".csv"</f>
        <v>36367.csv</v>
      </c>
      <c r="B69">
        <f>_xlfn.XLOOKUP([1]!Tabela9[[#This Row],[Codigo ANP]],[1]!abril6[Codigo Amostra],[1]!abril6[Ponto de fulgor])</f>
        <v>57.5</v>
      </c>
      <c r="C69">
        <f>_xlfn.XLOOKUP([1]!Tabela9[[#This Row],[Codigo ANP]],[1]!abril6[Codigo Amostra],[1]!abril6[Massa
Específica])</f>
        <v>839.2</v>
      </c>
      <c r="D69">
        <f>_xlfn.XLOOKUP([1]!Tabela9[[#This Row],[Codigo ANP]],[1]!abril6[Codigo Amostra],[1]!abril6[Teor de
Enxofre])</f>
        <v>9.8000000000000007</v>
      </c>
    </row>
    <row r="70" spans="1:4" x14ac:dyDescent="0.3">
      <c r="A70" t="str">
        <f>[1]!Tabela9[[#This Row],[Código LEC]]&amp;".csv"</f>
        <v>36370.csv</v>
      </c>
      <c r="B70">
        <f>_xlfn.XLOOKUP([1]!Tabela9[[#This Row],[Codigo ANP]],[1]!abril6[Codigo Amostra],[1]!abril6[Ponto de fulgor])</f>
        <v>55</v>
      </c>
      <c r="C70">
        <f>_xlfn.XLOOKUP([1]!Tabela9[[#This Row],[Codigo ANP]],[1]!abril6[Codigo Amostra],[1]!abril6[Massa
Específica])</f>
        <v>861.2</v>
      </c>
      <c r="D70">
        <f>_xlfn.XLOOKUP([1]!Tabela9[[#This Row],[Codigo ANP]],[1]!abril6[Codigo Amostra],[1]!abril6[Teor de
Enxofre])</f>
        <v>270</v>
      </c>
    </row>
    <row r="71" spans="1:4" x14ac:dyDescent="0.3">
      <c r="A71" t="str">
        <f>[1]!Tabela9[[#This Row],[Código LEC]]&amp;".csv"</f>
        <v>36373.csv</v>
      </c>
      <c r="B71">
        <f>_xlfn.XLOOKUP([1]!Tabela9[[#This Row],[Codigo ANP]],[1]!abril6[Codigo Amostra],[1]!abril6[Ponto de fulgor])</f>
        <v>43.1</v>
      </c>
      <c r="C71">
        <f>_xlfn.XLOOKUP([1]!Tabela9[[#This Row],[Codigo ANP]],[1]!abril6[Codigo Amostra],[1]!abril6[Massa
Específica])</f>
        <v>842.4</v>
      </c>
      <c r="D71">
        <f>_xlfn.XLOOKUP([1]!Tabela9[[#This Row],[Codigo ANP]],[1]!abril6[Codigo Amostra],[1]!abril6[Teor de
Enxofre])</f>
        <v>7.9</v>
      </c>
    </row>
    <row r="72" spans="1:4" x14ac:dyDescent="0.3">
      <c r="A72" t="str">
        <f>[1]!Tabela9[[#This Row],[Código LEC]]&amp;".csv"</f>
        <v>36376.csv</v>
      </c>
      <c r="B72">
        <f>_xlfn.XLOOKUP([1]!Tabela9[[#This Row],[Codigo ANP]],[1]!abril6[Codigo Amostra],[1]!abril6[Ponto de fulgor])</f>
        <v>51</v>
      </c>
      <c r="C72">
        <f>_xlfn.XLOOKUP([1]!Tabela9[[#This Row],[Codigo ANP]],[1]!abril6[Codigo Amostra],[1]!abril6[Massa
Específica])</f>
        <v>839.4</v>
      </c>
      <c r="D72">
        <f>_xlfn.XLOOKUP([1]!Tabela9[[#This Row],[Codigo ANP]],[1]!abril6[Codigo Amostra],[1]!abril6[Teor de
Enxofre])</f>
        <v>140</v>
      </c>
    </row>
    <row r="73" spans="1:4" x14ac:dyDescent="0.3">
      <c r="A73" t="str">
        <f>[1]!Tabela9[[#This Row],[Código LEC]]&amp;".csv"</f>
        <v>36379.csv</v>
      </c>
      <c r="B73">
        <f>_xlfn.XLOOKUP([1]!Tabela9[[#This Row],[Codigo ANP]],[1]!abril6[Codigo Amostra],[1]!abril6[Ponto de fulgor])</f>
        <v>52.1</v>
      </c>
      <c r="C73">
        <f>_xlfn.XLOOKUP([1]!Tabela9[[#This Row],[Codigo ANP]],[1]!abril6[Codigo Amostra],[1]!abril6[Massa
Específica])</f>
        <v>861.1</v>
      </c>
      <c r="D73">
        <f>_xlfn.XLOOKUP([1]!Tabela9[[#This Row],[Codigo ANP]],[1]!abril6[Codigo Amostra],[1]!abril6[Teor de
Enxofre])</f>
        <v>260</v>
      </c>
    </row>
    <row r="74" spans="1:4" x14ac:dyDescent="0.3">
      <c r="A74" t="str">
        <f>[1]!Tabela9[[#This Row],[Código LEC]]&amp;".csv"</f>
        <v>36382.csv</v>
      </c>
      <c r="B74">
        <f>_xlfn.XLOOKUP([1]!Tabela9[[#This Row],[Codigo ANP]],[1]!abril6[Codigo Amostra],[1]!abril6[Ponto de fulgor])</f>
        <v>43.5</v>
      </c>
      <c r="C74">
        <f>_xlfn.XLOOKUP([1]!Tabela9[[#This Row],[Codigo ANP]],[1]!abril6[Codigo Amostra],[1]!abril6[Massa
Específica])</f>
        <v>844.2</v>
      </c>
      <c r="D74">
        <f>_xlfn.XLOOKUP([1]!Tabela9[[#This Row],[Codigo ANP]],[1]!abril6[Codigo Amostra],[1]!abril6[Teor de
Enxofre])</f>
        <v>6.4</v>
      </c>
    </row>
    <row r="75" spans="1:4" x14ac:dyDescent="0.3">
      <c r="A75" t="str">
        <f>[1]!Tabela9[[#This Row],[Código LEC]]&amp;".csv"</f>
        <v>36385.csv</v>
      </c>
      <c r="B75">
        <f>_xlfn.XLOOKUP([1]!Tabela9[[#This Row],[Codigo ANP]],[1]!abril6[Codigo Amostra],[1]!abril6[Ponto de fulgor])</f>
        <v>43.2</v>
      </c>
      <c r="C75">
        <f>_xlfn.XLOOKUP([1]!Tabela9[[#This Row],[Codigo ANP]],[1]!abril6[Codigo Amostra],[1]!abril6[Massa
Específica])</f>
        <v>846.5</v>
      </c>
      <c r="D75">
        <f>_xlfn.XLOOKUP([1]!Tabela9[[#This Row],[Codigo ANP]],[1]!abril6[Codigo Amostra],[1]!abril6[Teor de
Enxofre])</f>
        <v>7.4</v>
      </c>
    </row>
    <row r="76" spans="1:4" x14ac:dyDescent="0.3">
      <c r="A76" t="str">
        <f>[1]!Tabela9[[#This Row],[Código LEC]]&amp;".csv"</f>
        <v>36388.csv</v>
      </c>
      <c r="B76">
        <f>_xlfn.XLOOKUP([1]!Tabela9[[#This Row],[Codigo ANP]],[1]!abril6[Codigo Amostra],[1]!abril6[Ponto de fulgor])</f>
        <v>28.3</v>
      </c>
      <c r="C76">
        <f>_xlfn.XLOOKUP([1]!Tabela9[[#This Row],[Codigo ANP]],[1]!abril6[Codigo Amostra],[1]!abril6[Massa
Específica])</f>
        <v>844.9</v>
      </c>
      <c r="D76">
        <f>_xlfn.XLOOKUP([1]!Tabela9[[#This Row],[Codigo ANP]],[1]!abril6[Codigo Amostra],[1]!abril6[Teor de
Enxofre])</f>
        <v>7.5</v>
      </c>
    </row>
    <row r="77" spans="1:4" x14ac:dyDescent="0.3">
      <c r="A77" t="str">
        <f>[1]!Tabela9[[#This Row],[Código LEC]]&amp;".csv"</f>
        <v>36391.csv</v>
      </c>
      <c r="B77">
        <f>_xlfn.XLOOKUP([1]!Tabela9[[#This Row],[Codigo ANP]],[1]!abril6[Codigo Amostra],[1]!abril6[Ponto de fulgor])</f>
        <v>45.2</v>
      </c>
      <c r="C77">
        <f>_xlfn.XLOOKUP([1]!Tabela9[[#This Row],[Codigo ANP]],[1]!abril6[Codigo Amostra],[1]!abril6[Massa
Específica])</f>
        <v>848.1</v>
      </c>
      <c r="D77">
        <f>_xlfn.XLOOKUP([1]!Tabela9[[#This Row],[Codigo ANP]],[1]!abril6[Codigo Amostra],[1]!abril6[Teor de
Enxofre])</f>
        <v>8</v>
      </c>
    </row>
    <row r="78" spans="1:4" x14ac:dyDescent="0.3">
      <c r="A78" t="str">
        <f>[1]!Tabela9[[#This Row],[Código LEC]]&amp;".csv"</f>
        <v>36401.csv</v>
      </c>
      <c r="B78">
        <f>_xlfn.XLOOKUP([1]!Tabela9[[#This Row],[Codigo ANP]],[1]!abril6[Codigo Amostra],[1]!abril6[Ponto de fulgor])</f>
        <v>36.200000000000003</v>
      </c>
      <c r="C78">
        <f>_xlfn.XLOOKUP([1]!Tabela9[[#This Row],[Codigo ANP]],[1]!abril6[Codigo Amostra],[1]!abril6[Massa
Específica])</f>
        <v>859.6</v>
      </c>
      <c r="D78">
        <f>_xlfn.XLOOKUP([1]!Tabela9[[#This Row],[Codigo ANP]],[1]!abril6[Codigo Amostra],[1]!abril6[Teor de
Enxofre])</f>
        <v>200</v>
      </c>
    </row>
    <row r="79" spans="1:4" x14ac:dyDescent="0.3">
      <c r="A79" t="str">
        <f>[1]!Tabela9[[#This Row],[Código LEC]]&amp;".csv"</f>
        <v>36404.csv</v>
      </c>
      <c r="B79">
        <f>_xlfn.XLOOKUP([1]!Tabela9[[#This Row],[Codigo ANP]],[1]!abril6[Codigo Amostra],[1]!abril6[Ponto de fulgor])</f>
        <v>48.2</v>
      </c>
      <c r="C79">
        <f>_xlfn.XLOOKUP([1]!Tabela9[[#This Row],[Codigo ANP]],[1]!abril6[Codigo Amostra],[1]!abril6[Massa
Específica])</f>
        <v>863.2</v>
      </c>
      <c r="D79">
        <f>_xlfn.XLOOKUP([1]!Tabela9[[#This Row],[Codigo ANP]],[1]!abril6[Codigo Amostra],[1]!abril6[Teor de
Enxofre])</f>
        <v>240</v>
      </c>
    </row>
    <row r="80" spans="1:4" x14ac:dyDescent="0.3">
      <c r="A80" t="str">
        <f>[1]!Tabela9[[#This Row],[Código LEC]]&amp;".csv"</f>
        <v>36407.csv</v>
      </c>
      <c r="B80">
        <f>_xlfn.XLOOKUP([1]!Tabela9[[#This Row],[Codigo ANP]],[1]!abril6[Codigo Amostra],[1]!abril6[Ponto de fulgor])</f>
        <v>47.5</v>
      </c>
      <c r="C80">
        <f>_xlfn.XLOOKUP([1]!Tabela9[[#This Row],[Codigo ANP]],[1]!abril6[Codigo Amostra],[1]!abril6[Massa
Específica])</f>
        <v>859.3</v>
      </c>
      <c r="D80">
        <f>_xlfn.XLOOKUP([1]!Tabela9[[#This Row],[Codigo ANP]],[1]!abril6[Codigo Amostra],[1]!abril6[Teor de
Enxofre])</f>
        <v>240</v>
      </c>
    </row>
    <row r="81" spans="1:4" x14ac:dyDescent="0.3">
      <c r="A81" t="str">
        <f>[1]!Tabela9[[#This Row],[Código LEC]]&amp;".csv"</f>
        <v>36416.csv</v>
      </c>
      <c r="B81">
        <f>_xlfn.XLOOKUP([1]!Tabela9[[#This Row],[Codigo ANP]],[1]!abril6[Codigo Amostra],[1]!abril6[Ponto de fulgor])</f>
        <v>45.2</v>
      </c>
      <c r="C81">
        <f>_xlfn.XLOOKUP([1]!Tabela9[[#This Row],[Codigo ANP]],[1]!abril6[Codigo Amostra],[1]!abril6[Massa
Específica])</f>
        <v>845.8</v>
      </c>
      <c r="D81">
        <f>_xlfn.XLOOKUP([1]!Tabela9[[#This Row],[Codigo ANP]],[1]!abril6[Codigo Amostra],[1]!abril6[Teor de
Enxofre])</f>
        <v>6.4</v>
      </c>
    </row>
    <row r="82" spans="1:4" x14ac:dyDescent="0.3">
      <c r="A82" t="str">
        <f>[1]!Tabela9[[#This Row],[Código LEC]]&amp;".csv"</f>
        <v>36419.csv</v>
      </c>
      <c r="B82">
        <f>_xlfn.XLOOKUP([1]!Tabela9[[#This Row],[Codigo ANP]],[1]!abril6[Codigo Amostra],[1]!abril6[Ponto de fulgor])</f>
        <v>45.5</v>
      </c>
      <c r="C82">
        <f>_xlfn.XLOOKUP([1]!Tabela9[[#This Row],[Codigo ANP]],[1]!abril6[Codigo Amostra],[1]!abril6[Massa
Específica])</f>
        <v>858</v>
      </c>
      <c r="D82">
        <f>_xlfn.XLOOKUP([1]!Tabela9[[#This Row],[Codigo ANP]],[1]!abril6[Codigo Amostra],[1]!abril6[Teor de
Enxofre])</f>
        <v>250</v>
      </c>
    </row>
    <row r="83" spans="1:4" x14ac:dyDescent="0.3">
      <c r="A83" t="str">
        <f>[1]!Tabela9[[#This Row],[Código LEC]]&amp;".csv"</f>
        <v>36422.csv</v>
      </c>
      <c r="B83">
        <f>_xlfn.XLOOKUP([1]!Tabela9[[#This Row],[Codigo ANP]],[1]!abril6[Codigo Amostra],[1]!abril6[Ponto de fulgor])</f>
        <v>53</v>
      </c>
      <c r="C83">
        <f>_xlfn.XLOOKUP([1]!Tabela9[[#This Row],[Codigo ANP]],[1]!abril6[Codigo Amostra],[1]!abril6[Massa
Específica])</f>
        <v>861.8</v>
      </c>
      <c r="D83">
        <f>_xlfn.XLOOKUP([1]!Tabela9[[#This Row],[Codigo ANP]],[1]!abril6[Codigo Amostra],[1]!abril6[Teor de
Enxofre])</f>
        <v>210</v>
      </c>
    </row>
    <row r="84" spans="1:4" x14ac:dyDescent="0.3">
      <c r="A84" t="str">
        <f>[1]!Tabela9[[#This Row],[Código LEC]]&amp;".csv"</f>
        <v>36425.csv</v>
      </c>
      <c r="B84">
        <f>_xlfn.XLOOKUP([1]!Tabela9[[#This Row],[Codigo ANP]],[1]!abril6[Codigo Amostra],[1]!abril6[Ponto de fulgor])</f>
        <v>44.3</v>
      </c>
      <c r="C84">
        <f>_xlfn.XLOOKUP([1]!Tabela9[[#This Row],[Codigo ANP]],[1]!abril6[Codigo Amostra],[1]!abril6[Massa
Específica])</f>
        <v>857.8</v>
      </c>
      <c r="D84">
        <f>_xlfn.XLOOKUP([1]!Tabela9[[#This Row],[Codigo ANP]],[1]!abril6[Codigo Amostra],[1]!abril6[Teor de
Enxofre])</f>
        <v>180</v>
      </c>
    </row>
    <row r="85" spans="1:4" x14ac:dyDescent="0.3">
      <c r="A85" t="str">
        <f>[1]!Tabela9[[#This Row],[Código LEC]]&amp;".csv"</f>
        <v>36429.csv</v>
      </c>
      <c r="B85">
        <f>_xlfn.XLOOKUP([1]!Tabela9[[#This Row],[Codigo ANP]],[1]!abril6[Codigo Amostra],[1]!abril6[Ponto de fulgor])</f>
        <v>50.5</v>
      </c>
      <c r="C85">
        <f>_xlfn.XLOOKUP([1]!Tabela9[[#This Row],[Codigo ANP]],[1]!abril6[Codigo Amostra],[1]!abril6[Massa
Específica])</f>
        <v>846.5</v>
      </c>
      <c r="D85">
        <f>_xlfn.XLOOKUP([1]!Tabela9[[#This Row],[Codigo ANP]],[1]!abril6[Codigo Amostra],[1]!abril6[Teor de
Enxofre])</f>
        <v>6.9</v>
      </c>
    </row>
    <row r="86" spans="1:4" x14ac:dyDescent="0.3">
      <c r="A86" t="str">
        <f>[1]!Tabela9[[#This Row],[Código LEC]]&amp;".csv"</f>
        <v>36432.csv</v>
      </c>
      <c r="B86">
        <f>_xlfn.XLOOKUP([1]!Tabela9[[#This Row],[Codigo ANP]],[1]!abril6[Codigo Amostra],[1]!abril6[Ponto de fulgor])</f>
        <v>50.5</v>
      </c>
      <c r="C86">
        <f>_xlfn.XLOOKUP([1]!Tabela9[[#This Row],[Codigo ANP]],[1]!abril6[Codigo Amostra],[1]!abril6[Massa
Específica])</f>
        <v>862.5</v>
      </c>
      <c r="D86">
        <f>_xlfn.XLOOKUP([1]!Tabela9[[#This Row],[Codigo ANP]],[1]!abril6[Codigo Amostra],[1]!abril6[Teor de
Enxofre])</f>
        <v>230</v>
      </c>
    </row>
    <row r="87" spans="1:4" x14ac:dyDescent="0.3">
      <c r="A87" t="str">
        <f>[1]!Tabela9[[#This Row],[Código LEC]]&amp;".csv"</f>
        <v>36444.csv</v>
      </c>
      <c r="B87">
        <f>_xlfn.XLOOKUP([1]!Tabela9[[#This Row],[Codigo ANP]],[1]!abril6[Codigo Amostra],[1]!abril6[Ponto de fulgor])</f>
        <v>51.1</v>
      </c>
      <c r="C87">
        <f>_xlfn.XLOOKUP([1]!Tabela9[[#This Row],[Codigo ANP]],[1]!abril6[Codigo Amostra],[1]!abril6[Massa
Específica])</f>
        <v>863.1</v>
      </c>
      <c r="D87">
        <f>_xlfn.XLOOKUP([1]!Tabela9[[#This Row],[Codigo ANP]],[1]!abril6[Codigo Amostra],[1]!abril6[Teor de
Enxofre])</f>
        <v>320</v>
      </c>
    </row>
    <row r="88" spans="1:4" x14ac:dyDescent="0.3">
      <c r="A88" t="str">
        <f>[1]!Tabela9[[#This Row],[Código LEC]]&amp;".csv"</f>
        <v>36447.csv</v>
      </c>
      <c r="B88">
        <f>_xlfn.XLOOKUP([1]!Tabela9[[#This Row],[Codigo ANP]],[1]!abril6[Codigo Amostra],[1]!abril6[Ponto de fulgor])</f>
        <v>40.700000000000003</v>
      </c>
      <c r="C88">
        <f>_xlfn.XLOOKUP([1]!Tabela9[[#This Row],[Codigo ANP]],[1]!abril6[Codigo Amostra],[1]!abril6[Massa
Específica])</f>
        <v>843.1</v>
      </c>
      <c r="D88">
        <f>_xlfn.XLOOKUP([1]!Tabela9[[#This Row],[Codigo ANP]],[1]!abril6[Codigo Amostra],[1]!abril6[Teor de
Enxofre])</f>
        <v>7.5</v>
      </c>
    </row>
    <row r="89" spans="1:4" x14ac:dyDescent="0.3">
      <c r="A89" t="str">
        <f>[1]!Tabela9[[#This Row],[Código LEC]]&amp;".csv"</f>
        <v>36450.csv</v>
      </c>
      <c r="B89">
        <f>_xlfn.XLOOKUP([1]!Tabela9[[#This Row],[Codigo ANP]],[1]!abril6[Codigo Amostra],[1]!abril6[Ponto de fulgor])</f>
        <v>49.5</v>
      </c>
      <c r="C89">
        <f>_xlfn.XLOOKUP([1]!Tabela9[[#This Row],[Codigo ANP]],[1]!abril6[Codigo Amostra],[1]!abril6[Massa
Específica])</f>
        <v>846</v>
      </c>
      <c r="D89">
        <f>_xlfn.XLOOKUP([1]!Tabela9[[#This Row],[Codigo ANP]],[1]!abril6[Codigo Amostra],[1]!abril6[Teor de
Enxofre])</f>
        <v>6.9</v>
      </c>
    </row>
    <row r="90" spans="1:4" x14ac:dyDescent="0.3">
      <c r="A90" t="str">
        <f>[1]!Tabela9[[#This Row],[Código LEC]]&amp;".csv"</f>
        <v>36453.csv</v>
      </c>
      <c r="B90">
        <f>_xlfn.XLOOKUP([1]!Tabela9[[#This Row],[Codigo ANP]],[1]!abril6[Codigo Amostra],[1]!abril6[Ponto de fulgor])</f>
        <v>48.2</v>
      </c>
      <c r="C90">
        <f>_xlfn.XLOOKUP([1]!Tabela9[[#This Row],[Codigo ANP]],[1]!abril6[Codigo Amostra],[1]!abril6[Massa
Específica])</f>
        <v>857.8</v>
      </c>
      <c r="D90">
        <f>_xlfn.XLOOKUP([1]!Tabela9[[#This Row],[Codigo ANP]],[1]!abril6[Codigo Amostra],[1]!abril6[Teor de
Enxofre])</f>
        <v>200</v>
      </c>
    </row>
    <row r="91" spans="1:4" x14ac:dyDescent="0.3">
      <c r="A91" t="str">
        <f>[1]!Tabela9[[#This Row],[Código LEC]]&amp;".csv"</f>
        <v>36456.csv</v>
      </c>
      <c r="B91">
        <f>_xlfn.XLOOKUP([1]!Tabela9[[#This Row],[Codigo ANP]],[1]!abril6[Codigo Amostra],[1]!abril6[Ponto de fulgor])</f>
        <v>33.299999999999997</v>
      </c>
      <c r="C91">
        <f>_xlfn.XLOOKUP([1]!Tabela9[[#This Row],[Codigo ANP]],[1]!abril6[Codigo Amostra],[1]!abril6[Massa
Específica])</f>
        <v>846.8</v>
      </c>
      <c r="D91">
        <f>_xlfn.XLOOKUP([1]!Tabela9[[#This Row],[Codigo ANP]],[1]!abril6[Codigo Amostra],[1]!abril6[Teor de
Enxofre])</f>
        <v>6.4</v>
      </c>
    </row>
    <row r="92" spans="1:4" x14ac:dyDescent="0.3">
      <c r="A92" t="str">
        <f>[1]!Tabela9[[#This Row],[Código LEC]]&amp;".csv"</f>
        <v>36466.csv</v>
      </c>
      <c r="B92">
        <f>_xlfn.XLOOKUP([1]!Tabela9[[#This Row],[Codigo ANP]],[1]!abril6[Codigo Amostra],[1]!abril6[Ponto de fulgor])</f>
        <v>43.2</v>
      </c>
      <c r="C92">
        <f>_xlfn.XLOOKUP([1]!Tabela9[[#This Row],[Codigo ANP]],[1]!abril6[Codigo Amostra],[1]!abril6[Massa
Específica])</f>
        <v>844.4</v>
      </c>
      <c r="D92">
        <f>_xlfn.XLOOKUP([1]!Tabela9[[#This Row],[Codigo ANP]],[1]!abril6[Codigo Amostra],[1]!abril6[Teor de
Enxofre])</f>
        <v>150</v>
      </c>
    </row>
    <row r="93" spans="1:4" x14ac:dyDescent="0.3">
      <c r="A93" t="str">
        <f>[1]!Tabela9[[#This Row],[Código LEC]]&amp;".csv"</f>
        <v>36469.csv</v>
      </c>
      <c r="B93">
        <f>_xlfn.XLOOKUP([1]!Tabela9[[#This Row],[Codigo ANP]],[1]!abril6[Codigo Amostra],[1]!abril6[Ponto de fulgor])</f>
        <v>45.5</v>
      </c>
      <c r="C93">
        <f>_xlfn.XLOOKUP([1]!Tabela9[[#This Row],[Codigo ANP]],[1]!abril6[Codigo Amostra],[1]!abril6[Massa
Específica])</f>
        <v>838.1</v>
      </c>
      <c r="D93">
        <f>_xlfn.XLOOKUP([1]!Tabela9[[#This Row],[Codigo ANP]],[1]!abril6[Codigo Amostra],[1]!abril6[Teor de
Enxofre])</f>
        <v>5.4</v>
      </c>
    </row>
    <row r="94" spans="1:4" x14ac:dyDescent="0.3">
      <c r="A94" t="str">
        <f>[1]!Tabela9[[#This Row],[Código LEC]]&amp;".csv"</f>
        <v>36472.csv</v>
      </c>
      <c r="B94">
        <f>_xlfn.XLOOKUP([1]!Tabela9[[#This Row],[Codigo ANP]],[1]!abril6[Codigo Amostra],[1]!abril6[Ponto de fulgor])</f>
        <v>21.8</v>
      </c>
      <c r="C94">
        <f>_xlfn.XLOOKUP([1]!Tabela9[[#This Row],[Codigo ANP]],[1]!abril6[Codigo Amostra],[1]!abril6[Massa
Específica])</f>
        <v>841.2</v>
      </c>
      <c r="D94">
        <f>_xlfn.XLOOKUP([1]!Tabela9[[#This Row],[Codigo ANP]],[1]!abril6[Codigo Amostra],[1]!abril6[Teor de
Enxofre])</f>
        <v>80</v>
      </c>
    </row>
    <row r="95" spans="1:4" x14ac:dyDescent="0.3">
      <c r="A95" t="str">
        <f>[1]!Tabela9[[#This Row],[Código LEC]]&amp;".csv"</f>
        <v>36475.csv</v>
      </c>
      <c r="B95">
        <f>_xlfn.XLOOKUP([1]!Tabela9[[#This Row],[Codigo ANP]],[1]!abril6[Codigo Amostra],[1]!abril6[Ponto de fulgor])</f>
        <v>49.2</v>
      </c>
      <c r="C95">
        <f>_xlfn.XLOOKUP([1]!Tabela9[[#This Row],[Codigo ANP]],[1]!abril6[Codigo Amostra],[1]!abril6[Massa
Específica])</f>
        <v>860.7</v>
      </c>
      <c r="D95">
        <f>_xlfn.XLOOKUP([1]!Tabela9[[#This Row],[Codigo ANP]],[1]!abril6[Codigo Amostra],[1]!abril6[Teor de
Enxofre])</f>
        <v>230</v>
      </c>
    </row>
    <row r="96" spans="1:4" x14ac:dyDescent="0.3">
      <c r="A96" t="str">
        <f>[1]!Tabela9[[#This Row],[Código LEC]]&amp;".csv"</f>
        <v>36478.csv</v>
      </c>
      <c r="B96">
        <f>_xlfn.XLOOKUP([1]!Tabela9[[#This Row],[Codigo ANP]],[1]!abril6[Codigo Amostra],[1]!abril6[Ponto de fulgor])</f>
        <v>44.5</v>
      </c>
      <c r="C96">
        <f>_xlfn.XLOOKUP([1]!Tabela9[[#This Row],[Codigo ANP]],[1]!abril6[Codigo Amostra],[1]!abril6[Massa
Específica])</f>
        <v>838.8</v>
      </c>
      <c r="D96">
        <f>_xlfn.XLOOKUP([1]!Tabela9[[#This Row],[Codigo ANP]],[1]!abril6[Codigo Amostra],[1]!abril6[Teor de
Enxofre])</f>
        <v>3.9</v>
      </c>
    </row>
    <row r="97" spans="1:4" x14ac:dyDescent="0.3">
      <c r="A97" t="str">
        <f>[1]!Tabela9[[#This Row],[Código LEC]]&amp;".csv"</f>
        <v>36481.csv</v>
      </c>
      <c r="B97">
        <f>_xlfn.XLOOKUP([1]!Tabela9[[#This Row],[Codigo ANP]],[1]!abril6[Codigo Amostra],[1]!abril6[Ponto de fulgor])</f>
        <v>61.2</v>
      </c>
      <c r="C97">
        <f>_xlfn.XLOOKUP([1]!Tabela9[[#This Row],[Codigo ANP]],[1]!abril6[Codigo Amostra],[1]!abril6[Massa
Específica])</f>
        <v>860.1</v>
      </c>
      <c r="D97">
        <f>_xlfn.XLOOKUP([1]!Tabela9[[#This Row],[Codigo ANP]],[1]!abril6[Codigo Amostra],[1]!abril6[Teor de
Enxofre])</f>
        <v>58</v>
      </c>
    </row>
    <row r="98" spans="1:4" x14ac:dyDescent="0.3">
      <c r="A98" t="str">
        <f>[1]!Tabela9[[#This Row],[Código LEC]]&amp;".csv"</f>
        <v>36484.csv</v>
      </c>
      <c r="B98">
        <f>_xlfn.XLOOKUP([1]!Tabela9[[#This Row],[Codigo ANP]],[1]!abril6[Codigo Amostra],[1]!abril6[Ponto de fulgor])</f>
        <v>38.700000000000003</v>
      </c>
      <c r="C98">
        <f>_xlfn.XLOOKUP([1]!Tabela9[[#This Row],[Codigo ANP]],[1]!abril6[Codigo Amostra],[1]!abril6[Massa
Específica])</f>
        <v>838.3</v>
      </c>
      <c r="D98">
        <f>_xlfn.XLOOKUP([1]!Tabela9[[#This Row],[Codigo ANP]],[1]!abril6[Codigo Amostra],[1]!abril6[Teor de
Enxofre])</f>
        <v>3.4</v>
      </c>
    </row>
    <row r="99" spans="1:4" x14ac:dyDescent="0.3">
      <c r="A99" t="str">
        <f>[1]!Tabela9[[#This Row],[Código LEC]]&amp;".csv"</f>
        <v>36487.csv</v>
      </c>
      <c r="B99">
        <f>_xlfn.XLOOKUP([1]!Tabela9[[#This Row],[Codigo ANP]],[1]!abril6[Codigo Amostra],[1]!abril6[Ponto de fulgor])</f>
        <v>46.5</v>
      </c>
      <c r="C99">
        <f>_xlfn.XLOOKUP([1]!Tabela9[[#This Row],[Codigo ANP]],[1]!abril6[Codigo Amostra],[1]!abril6[Massa
Específica])</f>
        <v>837.9</v>
      </c>
      <c r="D99">
        <f>_xlfn.XLOOKUP([1]!Tabela9[[#This Row],[Codigo ANP]],[1]!abril6[Codigo Amostra],[1]!abril6[Teor de
Enxofre])</f>
        <v>3.9</v>
      </c>
    </row>
    <row r="100" spans="1:4" x14ac:dyDescent="0.3">
      <c r="A100" t="str">
        <f>[1]!Tabela9[[#This Row],[Código LEC]]&amp;".csv"</f>
        <v>36491.csv</v>
      </c>
      <c r="B100">
        <f>_xlfn.XLOOKUP([1]!Tabela9[[#This Row],[Codigo ANP]],[1]!abril6[Codigo Amostra],[1]!abril6[Ponto de fulgor])</f>
        <v>44.2</v>
      </c>
      <c r="C100">
        <f>_xlfn.XLOOKUP([1]!Tabela9[[#This Row],[Codigo ANP]],[1]!abril6[Codigo Amostra],[1]!abril6[Massa
Específica])</f>
        <v>843.4</v>
      </c>
      <c r="D100">
        <f>_xlfn.XLOOKUP([1]!Tabela9[[#This Row],[Codigo ANP]],[1]!abril6[Codigo Amostra],[1]!abril6[Teor de
Enxofre])</f>
        <v>85</v>
      </c>
    </row>
    <row r="101" spans="1:4" x14ac:dyDescent="0.3">
      <c r="A101" t="str">
        <f>[1]!Tabela9[[#This Row],[Código LEC]]&amp;".csv"</f>
        <v>36508.csv</v>
      </c>
      <c r="B101">
        <f>_xlfn.XLOOKUP([1]!Tabela9[[#This Row],[Codigo ANP]],[1]!abril6[Codigo Amostra],[1]!abril6[Ponto de fulgor])</f>
        <v>42.7</v>
      </c>
      <c r="C101">
        <f>_xlfn.XLOOKUP([1]!Tabela9[[#This Row],[Codigo ANP]],[1]!abril6[Codigo Amostra],[1]!abril6[Massa
Específica])</f>
        <v>844.6</v>
      </c>
      <c r="D101">
        <f>_xlfn.XLOOKUP([1]!Tabela9[[#This Row],[Codigo ANP]],[1]!abril6[Codigo Amostra],[1]!abril6[Teor de
Enxofre])</f>
        <v>110</v>
      </c>
    </row>
    <row r="102" spans="1:4" x14ac:dyDescent="0.3">
      <c r="A102" t="str">
        <f>[1]!Tabela9[[#This Row],[Código LEC]]&amp;".csv"</f>
        <v>36511.csv</v>
      </c>
      <c r="B102">
        <f>_xlfn.XLOOKUP([1]!Tabela9[[#This Row],[Codigo ANP]],[1]!abril6[Codigo Amostra],[1]!abril6[Ponto de fulgor])</f>
        <v>47.2</v>
      </c>
      <c r="C102">
        <f>_xlfn.XLOOKUP([1]!Tabela9[[#This Row],[Codigo ANP]],[1]!abril6[Codigo Amostra],[1]!abril6[Massa
Específica])</f>
        <v>837.6</v>
      </c>
      <c r="D102">
        <f>_xlfn.XLOOKUP([1]!Tabela9[[#This Row],[Codigo ANP]],[1]!abril6[Codigo Amostra],[1]!abril6[Teor de
Enxofre])</f>
        <v>4.9000000000000004</v>
      </c>
    </row>
    <row r="103" spans="1:4" x14ac:dyDescent="0.3">
      <c r="A103" t="str">
        <f>[1]!Tabela9[[#This Row],[Código LEC]]&amp;".csv"</f>
        <v>36526.csv</v>
      </c>
      <c r="B103">
        <f>_xlfn.XLOOKUP([1]!Tabela9[[#This Row],[Codigo ANP]],[1]!abril6[Codigo Amostra],[1]!abril6[Ponto de fulgor])</f>
        <v>41.5</v>
      </c>
      <c r="C103">
        <f>_xlfn.XLOOKUP([1]!Tabela9[[#This Row],[Codigo ANP]],[1]!abril6[Codigo Amostra],[1]!abril6[Massa
Específica])</f>
        <v>844.8</v>
      </c>
      <c r="D103">
        <f>_xlfn.XLOOKUP([1]!Tabela9[[#This Row],[Codigo ANP]],[1]!abril6[Codigo Amostra],[1]!abril6[Teor de
Enxofre])</f>
        <v>200</v>
      </c>
    </row>
    <row r="104" spans="1:4" x14ac:dyDescent="0.3">
      <c r="A104" t="str">
        <f>[1]!Tabela9[[#This Row],[Código LEC]]&amp;".csv"</f>
        <v>36529.csv</v>
      </c>
      <c r="B104">
        <f>_xlfn.XLOOKUP([1]!Tabela9[[#This Row],[Codigo ANP]],[1]!abril6[Codigo Amostra],[1]!abril6[Ponto de fulgor])</f>
        <v>41</v>
      </c>
      <c r="C104">
        <f>_xlfn.XLOOKUP([1]!Tabela9[[#This Row],[Codigo ANP]],[1]!abril6[Codigo Amostra],[1]!abril6[Massa
Específica])</f>
        <v>846.3</v>
      </c>
      <c r="D104">
        <f>_xlfn.XLOOKUP([1]!Tabela9[[#This Row],[Codigo ANP]],[1]!abril6[Codigo Amostra],[1]!abril6[Teor de
Enxofre])</f>
        <v>88</v>
      </c>
    </row>
    <row r="105" spans="1:4" x14ac:dyDescent="0.3">
      <c r="A105" t="str">
        <f>[1]!Tabela9[[#This Row],[Código LEC]]&amp;".csv"</f>
        <v>36535.csv</v>
      </c>
      <c r="B105">
        <f>_xlfn.XLOOKUP([1]!Tabela9[[#This Row],[Codigo ANP]],[1]!abril6[Codigo Amostra],[1]!abril6[Ponto de fulgor])</f>
        <v>59.2</v>
      </c>
      <c r="C105">
        <f>_xlfn.XLOOKUP([1]!Tabela9[[#This Row],[Codigo ANP]],[1]!abril6[Codigo Amostra],[1]!abril6[Massa
Específica])</f>
        <v>859.9</v>
      </c>
      <c r="D105">
        <f>_xlfn.XLOOKUP([1]!Tabela9[[#This Row],[Codigo ANP]],[1]!abril6[Codigo Amostra],[1]!abril6[Teor de
Enxofre])</f>
        <v>72</v>
      </c>
    </row>
    <row r="106" spans="1:4" x14ac:dyDescent="0.3">
      <c r="A106" t="str">
        <f>[1]!Tabela9[[#This Row],[Código LEC]]&amp;".csv"</f>
        <v>36544.csv</v>
      </c>
      <c r="B106">
        <f>_xlfn.XLOOKUP([1]!Tabela9[[#This Row],[Codigo ANP]],[1]!abril6[Codigo Amostra],[1]!abril6[Ponto de fulgor])</f>
        <v>50</v>
      </c>
      <c r="C106">
        <f>_xlfn.XLOOKUP([1]!Tabela9[[#This Row],[Codigo ANP]],[1]!abril6[Codigo Amostra],[1]!abril6[Massa
Específica])</f>
        <v>859.9</v>
      </c>
      <c r="D106">
        <f>_xlfn.XLOOKUP([1]!Tabela9[[#This Row],[Codigo ANP]],[1]!abril6[Codigo Amostra],[1]!abril6[Teor de
Enxofre])</f>
        <v>250</v>
      </c>
    </row>
    <row r="107" spans="1:4" x14ac:dyDescent="0.3">
      <c r="A107" t="str">
        <f>[1]!Tabela9[[#This Row],[Código LEC]]&amp;".csv"</f>
        <v>36547.csv</v>
      </c>
      <c r="B107">
        <f>_xlfn.XLOOKUP([1]!Tabela9[[#This Row],[Codigo ANP]],[1]!abril6[Codigo Amostra],[1]!abril6[Ponto de fulgor])</f>
        <v>37.700000000000003</v>
      </c>
      <c r="C107">
        <f>_xlfn.XLOOKUP([1]!Tabela9[[#This Row],[Codigo ANP]],[1]!abril6[Codigo Amostra],[1]!abril6[Massa
Específica])</f>
        <v>859.5</v>
      </c>
      <c r="D107">
        <f>_xlfn.XLOOKUP([1]!Tabela9[[#This Row],[Codigo ANP]],[1]!abril6[Codigo Amostra],[1]!abril6[Teor de
Enxofre])</f>
        <v>210</v>
      </c>
    </row>
    <row r="108" spans="1:4" x14ac:dyDescent="0.3">
      <c r="A108" t="str">
        <f>[1]!Tabela9[[#This Row],[Código LEC]]&amp;".csv"</f>
        <v>36553.csv</v>
      </c>
      <c r="B108">
        <f>_xlfn.XLOOKUP([1]!Tabela9[[#This Row],[Codigo ANP]],[1]!abril6[Codigo Amostra],[1]!abril6[Ponto de fulgor])</f>
        <v>46.5</v>
      </c>
      <c r="C108">
        <f>_xlfn.XLOOKUP([1]!Tabela9[[#This Row],[Codigo ANP]],[1]!abril6[Codigo Amostra],[1]!abril6[Massa
Específica])</f>
        <v>859.6</v>
      </c>
      <c r="D108">
        <f>_xlfn.XLOOKUP([1]!Tabela9[[#This Row],[Codigo ANP]],[1]!abril6[Codigo Amostra],[1]!abril6[Teor de
Enxofre])</f>
        <v>200</v>
      </c>
    </row>
    <row r="109" spans="1:4" x14ac:dyDescent="0.3">
      <c r="A109" t="str">
        <f>[1]!Tabela9[[#This Row],[Código LEC]]&amp;".csv"</f>
        <v>36556.csv</v>
      </c>
      <c r="B109">
        <f>_xlfn.XLOOKUP([1]!Tabela9[[#This Row],[Codigo ANP]],[1]!abril6[Codigo Amostra],[1]!abril6[Ponto de fulgor])</f>
        <v>50.2</v>
      </c>
      <c r="C109">
        <f>_xlfn.XLOOKUP([1]!Tabela9[[#This Row],[Codigo ANP]],[1]!abril6[Codigo Amostra],[1]!abril6[Massa
Específica])</f>
        <v>859.5</v>
      </c>
      <c r="D109">
        <f>_xlfn.XLOOKUP([1]!Tabela9[[#This Row],[Codigo ANP]],[1]!abril6[Codigo Amostra],[1]!abril6[Teor de
Enxofre])</f>
        <v>100</v>
      </c>
    </row>
    <row r="110" spans="1:4" x14ac:dyDescent="0.3">
      <c r="A110" t="str">
        <f>[1]!Tabela9[[#This Row],[Código LEC]]&amp;".csv"</f>
        <v>36559.csv</v>
      </c>
      <c r="B110">
        <f>_xlfn.XLOOKUP([1]!Tabela9[[#This Row],[Codigo ANP]],[1]!abril6[Codigo Amostra],[1]!abril6[Ponto de fulgor])</f>
        <v>48</v>
      </c>
      <c r="C110">
        <f>_xlfn.XLOOKUP([1]!Tabela9[[#This Row],[Codigo ANP]],[1]!abril6[Codigo Amostra],[1]!abril6[Massa
Específica])</f>
        <v>843.7</v>
      </c>
      <c r="D110">
        <f>_xlfn.XLOOKUP([1]!Tabela9[[#This Row],[Codigo ANP]],[1]!abril6[Codigo Amostra],[1]!abril6[Teor de
Enxofre])</f>
        <v>5.5</v>
      </c>
    </row>
    <row r="111" spans="1:4" x14ac:dyDescent="0.3">
      <c r="A111" t="str">
        <f>[1]!Tabela9[[#This Row],[Código LEC]]&amp;".csv"</f>
        <v>36559.csv</v>
      </c>
      <c r="B111">
        <f>_xlfn.XLOOKUP([1]!Tabela9[[#This Row],[Codigo ANP]],[1]!abril6[Codigo Amostra],[1]!abril6[Ponto de fulgor])</f>
        <v>47.5</v>
      </c>
      <c r="C111">
        <f>_xlfn.XLOOKUP([1]!Tabela9[[#This Row],[Codigo ANP]],[1]!abril6[Codigo Amostra],[1]!abril6[Massa
Específica])</f>
        <v>845.7</v>
      </c>
      <c r="D111">
        <f>_xlfn.XLOOKUP([1]!Tabela9[[#This Row],[Codigo ANP]],[1]!abril6[Codigo Amostra],[1]!abril6[Teor de
Enxofre])</f>
        <v>6</v>
      </c>
    </row>
    <row r="112" spans="1:4" x14ac:dyDescent="0.3">
      <c r="A112" t="str">
        <f>[1]!Tabela9[[#This Row],[Código LEC]]&amp;".csv"</f>
        <v>36566.csv</v>
      </c>
      <c r="B112">
        <f>_xlfn.XLOOKUP([1]!Tabela9[[#This Row],[Codigo ANP]],[1]!abril6[Codigo Amostra],[1]!abril6[Ponto de fulgor])</f>
        <v>50.5</v>
      </c>
      <c r="C112">
        <f>_xlfn.XLOOKUP([1]!Tabela9[[#This Row],[Codigo ANP]],[1]!abril6[Codigo Amostra],[1]!abril6[Massa
Específica])</f>
        <v>846.7</v>
      </c>
      <c r="D112">
        <f>_xlfn.XLOOKUP([1]!Tabela9[[#This Row],[Codigo ANP]],[1]!abril6[Codigo Amostra],[1]!abril6[Teor de
Enxofre])</f>
        <v>6.6</v>
      </c>
    </row>
    <row r="113" spans="1:4" x14ac:dyDescent="0.3">
      <c r="A113" t="str">
        <f>[1]!Tabela9[[#This Row],[Código LEC]]&amp;".csv"</f>
        <v>36575.csv</v>
      </c>
      <c r="B113">
        <f>_xlfn.XLOOKUP([1]!Tabela9[[#This Row],[Codigo ANP]],[1]!abril6[Codigo Amostra],[1]!abril6[Ponto de fulgor])</f>
        <v>46.2</v>
      </c>
      <c r="C113">
        <f>_xlfn.XLOOKUP([1]!Tabela9[[#This Row],[Codigo ANP]],[1]!abril6[Codigo Amostra],[1]!abril6[Massa
Específica])</f>
        <v>844.6</v>
      </c>
      <c r="D113">
        <f>_xlfn.XLOOKUP([1]!Tabela9[[#This Row],[Codigo ANP]],[1]!abril6[Codigo Amostra],[1]!abril6[Teor de
Enxofre])</f>
        <v>5.8</v>
      </c>
    </row>
    <row r="114" spans="1:4" x14ac:dyDescent="0.3">
      <c r="A114" t="str">
        <f>[1]!Tabela9[[#This Row],[Código LEC]]&amp;".csv"</f>
        <v>36578.csv</v>
      </c>
      <c r="B114">
        <f>_xlfn.XLOOKUP([1]!Tabela9[[#This Row],[Codigo ANP]],[1]!abril6[Codigo Amostra],[1]!abril6[Ponto de fulgor])</f>
        <v>48.5</v>
      </c>
      <c r="C114">
        <f>_xlfn.XLOOKUP([1]!Tabela9[[#This Row],[Codigo ANP]],[1]!abril6[Codigo Amostra],[1]!abril6[Massa
Específica])</f>
        <v>844.9</v>
      </c>
      <c r="D114">
        <f>_xlfn.XLOOKUP([1]!Tabela9[[#This Row],[Codigo ANP]],[1]!abril6[Codigo Amostra],[1]!abril6[Teor de
Enxofre])</f>
        <v>6.6</v>
      </c>
    </row>
    <row r="115" spans="1:4" x14ac:dyDescent="0.3">
      <c r="A115" t="str">
        <f>[1]!Tabela9[[#This Row],[Código LEC]]&amp;".csv"</f>
        <v>36594.csv</v>
      </c>
      <c r="B115">
        <f>_xlfn.XLOOKUP([1]!Tabela9[[#This Row],[Codigo ANP]],[1]!abril6[Codigo Amostra],[1]!abril6[Ponto de fulgor])</f>
        <v>45.2</v>
      </c>
      <c r="C115">
        <f>_xlfn.XLOOKUP([1]!Tabela9[[#This Row],[Codigo ANP]],[1]!abril6[Codigo Amostra],[1]!abril6[Massa
Específica])</f>
        <v>847.8</v>
      </c>
      <c r="D115">
        <f>_xlfn.XLOOKUP([1]!Tabela9[[#This Row],[Codigo ANP]],[1]!abril6[Codigo Amostra],[1]!abril6[Teor de
Enxofre])</f>
        <v>40</v>
      </c>
    </row>
    <row r="116" spans="1:4" x14ac:dyDescent="0.3">
      <c r="A116" t="str">
        <f>[1]!Tabela9[[#This Row],[Código LEC]]&amp;".csv"</f>
        <v>36601.csv</v>
      </c>
      <c r="B116">
        <f>_xlfn.XLOOKUP([1]!Tabela9[[#This Row],[Codigo ANP]],[1]!abril6[Codigo Amostra],[1]!abril6[Ponto de fulgor])</f>
        <v>45.7</v>
      </c>
      <c r="C116">
        <f>_xlfn.XLOOKUP([1]!Tabela9[[#This Row],[Codigo ANP]],[1]!abril6[Codigo Amostra],[1]!abril6[Massa
Específica])</f>
        <v>844.8</v>
      </c>
      <c r="D116">
        <f>_xlfn.XLOOKUP([1]!Tabela9[[#This Row],[Codigo ANP]],[1]!abril6[Codigo Amostra],[1]!abril6[Teor de
Enxofre])</f>
        <v>64</v>
      </c>
    </row>
    <row r="117" spans="1:4" x14ac:dyDescent="0.3">
      <c r="A117" t="str">
        <f>[1]!Tabela9[[#This Row],[Código LEC]]&amp;".csv"</f>
        <v>36604.csv</v>
      </c>
      <c r="B117">
        <f>_xlfn.XLOOKUP([1]!Tabela9[[#This Row],[Codigo ANP]],[1]!abril6[Codigo Amostra],[1]!abril6[Ponto de fulgor])</f>
        <v>42.2</v>
      </c>
      <c r="C117">
        <f>_xlfn.XLOOKUP([1]!Tabela9[[#This Row],[Codigo ANP]],[1]!abril6[Codigo Amostra],[1]!abril6[Massa
Específica])</f>
        <v>839.6</v>
      </c>
      <c r="D117">
        <f>_xlfn.XLOOKUP([1]!Tabela9[[#This Row],[Codigo ANP]],[1]!abril6[Codigo Amostra],[1]!abril6[Teor de
Enxofre])</f>
        <v>5.6</v>
      </c>
    </row>
    <row r="118" spans="1:4" x14ac:dyDescent="0.3">
      <c r="A118" t="str">
        <f>[1]!Tabela9[[#This Row],[Código LEC]]&amp;".csv"</f>
        <v>36610.csv</v>
      </c>
      <c r="B118">
        <f>_xlfn.XLOOKUP([1]!Tabela9[[#This Row],[Codigo ANP]],[1]!abril6[Codigo Amostra],[1]!abril6[Ponto de fulgor])</f>
        <v>46.2</v>
      </c>
      <c r="C118">
        <f>_xlfn.XLOOKUP([1]!Tabela9[[#This Row],[Codigo ANP]],[1]!abril6[Codigo Amostra],[1]!abril6[Massa
Específica])</f>
        <v>840.9</v>
      </c>
      <c r="D118">
        <f>_xlfn.XLOOKUP([1]!Tabela9[[#This Row],[Codigo ANP]],[1]!abril6[Codigo Amostra],[1]!abril6[Teor de
Enxofre])</f>
        <v>5.6</v>
      </c>
    </row>
    <row r="119" spans="1:4" x14ac:dyDescent="0.3">
      <c r="A119" t="str">
        <f>[1]!Tabela9[[#This Row],[Código LEC]]&amp;".csv"</f>
        <v>36613.csv</v>
      </c>
      <c r="B119">
        <f>_xlfn.XLOOKUP([1]!Tabela9[[#This Row],[Codigo ANP]],[1]!abril6[Codigo Amostra],[1]!abril6[Ponto de fulgor])</f>
        <v>46.5</v>
      </c>
      <c r="C119">
        <f>_xlfn.XLOOKUP([1]!Tabela9[[#This Row],[Codigo ANP]],[1]!abril6[Codigo Amostra],[1]!abril6[Massa
Específica])</f>
        <v>838.5</v>
      </c>
      <c r="D119">
        <f>_xlfn.XLOOKUP([1]!Tabela9[[#This Row],[Codigo ANP]],[1]!abril6[Codigo Amostra],[1]!abril6[Teor de
Enxofre])</f>
        <v>4.0999999999999996</v>
      </c>
    </row>
    <row r="120" spans="1:4" x14ac:dyDescent="0.3">
      <c r="A120" t="str">
        <f>[1]!Tabela9[[#This Row],[Código LEC]]&amp;".csv"</f>
        <v>36616.csv</v>
      </c>
      <c r="B120">
        <f>_xlfn.XLOOKUP([1]!Tabela9[[#This Row],[Codigo ANP]],[1]!abril6[Codigo Amostra],[1]!abril6[Ponto de fulgor])</f>
        <v>45.5</v>
      </c>
      <c r="C120">
        <f>_xlfn.XLOOKUP([1]!Tabela9[[#This Row],[Codigo ANP]],[1]!abril6[Codigo Amostra],[1]!abril6[Massa
Específica])</f>
        <v>844.1</v>
      </c>
      <c r="D120">
        <f>_xlfn.XLOOKUP([1]!Tabela9[[#This Row],[Codigo ANP]],[1]!abril6[Codigo Amostra],[1]!abril6[Teor de
Enxofre])</f>
        <v>74</v>
      </c>
    </row>
    <row r="121" spans="1:4" x14ac:dyDescent="0.3">
      <c r="A121" t="str">
        <f>[1]!Tabela9[[#This Row],[Código LEC]]&amp;".csv"</f>
        <v>36619.csv</v>
      </c>
      <c r="B121">
        <f>_xlfn.XLOOKUP([1]!Tabela9[[#This Row],[Codigo ANP]],[1]!abril6[Codigo Amostra],[1]!abril6[Ponto de fulgor])</f>
        <v>47</v>
      </c>
      <c r="C121">
        <f>_xlfn.XLOOKUP([1]!Tabela9[[#This Row],[Codigo ANP]],[1]!abril6[Codigo Amostra],[1]!abril6[Massa
Específica])</f>
        <v>843.6</v>
      </c>
      <c r="D121">
        <f>_xlfn.XLOOKUP([1]!Tabela9[[#This Row],[Codigo ANP]],[1]!abril6[Codigo Amostra],[1]!abril6[Teor de
Enxofre])</f>
        <v>72</v>
      </c>
    </row>
    <row r="122" spans="1:4" x14ac:dyDescent="0.3">
      <c r="A122" t="str">
        <f>[1]!Tabela9[[#This Row],[Código LEC]]&amp;".csv"</f>
        <v>36628.csv</v>
      </c>
      <c r="B122">
        <f>_xlfn.XLOOKUP([1]!Tabela9[[#This Row],[Codigo ANP]],[1]!abril6[Codigo Amostra],[1]!abril6[Ponto de fulgor])</f>
        <v>49</v>
      </c>
      <c r="C122">
        <f>_xlfn.XLOOKUP([1]!Tabela9[[#This Row],[Codigo ANP]],[1]!abril6[Codigo Amostra],[1]!abril6[Massa
Específica])</f>
        <v>839.7</v>
      </c>
      <c r="D122">
        <f>_xlfn.XLOOKUP([1]!Tabela9[[#This Row],[Codigo ANP]],[1]!abril6[Codigo Amostra],[1]!abril6[Teor de
Enxofre])</f>
        <v>4.2</v>
      </c>
    </row>
    <row r="123" spans="1:4" x14ac:dyDescent="0.3">
      <c r="A123" t="str">
        <f>[1]!Tabela9[[#This Row],[Código LEC]]&amp;".csv"</f>
        <v>36631.csv</v>
      </c>
      <c r="B123">
        <f>_xlfn.XLOOKUP([1]!Tabela9[[#This Row],[Codigo ANP]],[1]!abril6[Codigo Amostra],[1]!abril6[Ponto de fulgor])</f>
        <v>40.6</v>
      </c>
      <c r="C123">
        <f>_xlfn.XLOOKUP([1]!Tabela9[[#This Row],[Codigo ANP]],[1]!abril6[Codigo Amostra],[1]!abril6[Massa
Específica])</f>
        <v>843.7</v>
      </c>
      <c r="D123">
        <f>_xlfn.XLOOKUP([1]!Tabela9[[#This Row],[Codigo ANP]],[1]!abril6[Codigo Amostra],[1]!abril6[Teor de
Enxofre])</f>
        <v>69</v>
      </c>
    </row>
    <row r="124" spans="1:4" x14ac:dyDescent="0.3">
      <c r="A124" t="str">
        <f>[1]!Tabela9[[#This Row],[Código LEC]]&amp;".csv"</f>
        <v>36653.csv</v>
      </c>
      <c r="B124">
        <f>_xlfn.XLOOKUP([1]!Tabela9[[#This Row],[Codigo ANP]],[1]!abril6[Codigo Amostra],[1]!abril6[Ponto de fulgor])</f>
        <v>51.2</v>
      </c>
      <c r="C124">
        <f>_xlfn.XLOOKUP([1]!Tabela9[[#This Row],[Codigo ANP]],[1]!abril6[Codigo Amostra],[1]!abril6[Massa
Específica])</f>
        <v>841.7</v>
      </c>
      <c r="D124">
        <f>_xlfn.XLOOKUP([1]!Tabela9[[#This Row],[Codigo ANP]],[1]!abril6[Codigo Amostra],[1]!abril6[Teor de
Enxofre])</f>
        <v>7.4</v>
      </c>
    </row>
    <row r="125" spans="1:4" x14ac:dyDescent="0.3">
      <c r="A125" t="str">
        <f>[1]!Tabela9[[#This Row],[Código LEC]]&amp;".csv"</f>
        <v>36655.csv</v>
      </c>
      <c r="B125">
        <f>_xlfn.XLOOKUP([1]!Tabela9[[#This Row],[Codigo ANP]],[1]!abril6[Codigo Amostra],[1]!abril6[Ponto de fulgor])</f>
        <v>49.5</v>
      </c>
      <c r="C125">
        <f>_xlfn.XLOOKUP([1]!Tabela9[[#This Row],[Codigo ANP]],[1]!abril6[Codigo Amostra],[1]!abril6[Massa
Específica])</f>
        <v>859.6</v>
      </c>
      <c r="D125">
        <f>_xlfn.XLOOKUP([1]!Tabela9[[#This Row],[Codigo ANP]],[1]!abril6[Codigo Amostra],[1]!abril6[Teor de
Enxofre])</f>
        <v>0</v>
      </c>
    </row>
    <row r="126" spans="1:4" x14ac:dyDescent="0.3">
      <c r="A126" t="str">
        <f>[1]!Tabela9[[#This Row],[Código LEC]]&amp;".csv"</f>
        <v>36658.csv</v>
      </c>
      <c r="B126">
        <f>_xlfn.XLOOKUP([1]!Tabela9[[#This Row],[Codigo ANP]],[1]!abril6[Codigo Amostra],[1]!abril6[Ponto de fulgor])</f>
        <v>52.5</v>
      </c>
      <c r="C126">
        <f>_xlfn.XLOOKUP([1]!Tabela9[[#This Row],[Codigo ANP]],[1]!abril6[Codigo Amostra],[1]!abril6[Massa
Específica])</f>
        <v>842.7</v>
      </c>
      <c r="D126">
        <f>_xlfn.XLOOKUP([1]!Tabela9[[#This Row],[Codigo ANP]],[1]!abril6[Codigo Amostra],[1]!abril6[Teor de
Enxofre])</f>
        <v>6.5</v>
      </c>
    </row>
    <row r="127" spans="1:4" x14ac:dyDescent="0.3">
      <c r="A127" t="str">
        <f>[1]!Tabela9[[#This Row],[Código LEC]]&amp;".csv"</f>
        <v>36668.csv</v>
      </c>
      <c r="B127">
        <f>_xlfn.XLOOKUP([1]!Tabela9[[#This Row],[Codigo ANP]],[1]!abril6[Codigo Amostra],[1]!abril6[Ponto de fulgor])</f>
        <v>49.5</v>
      </c>
      <c r="C127">
        <f>_xlfn.XLOOKUP([1]!Tabela9[[#This Row],[Codigo ANP]],[1]!abril6[Codigo Amostra],[1]!abril6[Massa
Específica])</f>
        <v>843.4</v>
      </c>
      <c r="D127">
        <f>_xlfn.XLOOKUP([1]!Tabela9[[#This Row],[Codigo ANP]],[1]!abril6[Codigo Amostra],[1]!abril6[Teor de
Enxofre])</f>
        <v>6.7</v>
      </c>
    </row>
    <row r="128" spans="1:4" x14ac:dyDescent="0.3">
      <c r="A128" t="str">
        <f>[1]!Tabela9[[#This Row],[Código LEC]]&amp;".csv"</f>
        <v>36671.csv</v>
      </c>
      <c r="B128">
        <f>_xlfn.XLOOKUP([1]!Tabela9[[#This Row],[Codigo ANP]],[1]!abril6[Codigo Amostra],[1]!abril6[Ponto de fulgor])</f>
        <v>49.1</v>
      </c>
      <c r="C128">
        <f>_xlfn.XLOOKUP([1]!Tabela9[[#This Row],[Codigo ANP]],[1]!abril6[Codigo Amostra],[1]!abril6[Massa
Específica])</f>
        <v>843.9</v>
      </c>
      <c r="D128">
        <f>_xlfn.XLOOKUP([1]!Tabela9[[#This Row],[Codigo ANP]],[1]!abril6[Codigo Amostra],[1]!abril6[Teor de
Enxofre])</f>
        <v>8.6</v>
      </c>
    </row>
    <row r="129" spans="1:4" x14ac:dyDescent="0.3">
      <c r="A129" t="str">
        <f>[1]!Tabela9[[#This Row],[Código LEC]]&amp;".csv"</f>
        <v>36674.csv</v>
      </c>
      <c r="B129">
        <f>_xlfn.XLOOKUP([1]!Tabela9[[#This Row],[Codigo ANP]],[1]!abril6[Codigo Amostra],[1]!abril6[Ponto de fulgor])</f>
        <v>52</v>
      </c>
      <c r="C129">
        <f>_xlfn.XLOOKUP([1]!Tabela9[[#This Row],[Codigo ANP]],[1]!abril6[Codigo Amostra],[1]!abril6[Massa
Específica])</f>
        <v>843.2</v>
      </c>
      <c r="D129">
        <f>_xlfn.XLOOKUP([1]!Tabela9[[#This Row],[Codigo ANP]],[1]!abril6[Codigo Amostra],[1]!abril6[Teor de
Enxofre])</f>
        <v>15</v>
      </c>
    </row>
    <row r="130" spans="1:4" x14ac:dyDescent="0.3">
      <c r="A130" t="str">
        <f>[1]!Tabela9[[#This Row],[Código LEC]]&amp;".csv"</f>
        <v>36686.csv</v>
      </c>
      <c r="B130">
        <f>_xlfn.XLOOKUP([1]!Tabela9[[#This Row],[Codigo ANP]],[1]!abril6[Codigo Amostra],[1]!abril6[Ponto de fulgor])</f>
        <v>53</v>
      </c>
      <c r="C130">
        <f>_xlfn.XLOOKUP([1]!Tabela9[[#This Row],[Codigo ANP]],[1]!abril6[Codigo Amostra],[1]!abril6[Massa
Específica])</f>
        <v>863.2</v>
      </c>
      <c r="D130">
        <f>_xlfn.XLOOKUP([1]!Tabela9[[#This Row],[Codigo ANP]],[1]!abril6[Codigo Amostra],[1]!abril6[Teor de
Enxofre])</f>
        <v>290</v>
      </c>
    </row>
    <row r="131" spans="1:4" x14ac:dyDescent="0.3">
      <c r="A131" t="str">
        <f>[1]!Tabela9[[#This Row],[Código LEC]]&amp;".csv"</f>
        <v>36705.csv</v>
      </c>
      <c r="B131">
        <f>_xlfn.XLOOKUP([1]!Tabela9[[#This Row],[Codigo ANP]],[1]!abril6[Codigo Amostra],[1]!abril6[Ponto de fulgor])</f>
        <v>53</v>
      </c>
      <c r="C131">
        <f>_xlfn.XLOOKUP([1]!Tabela9[[#This Row],[Codigo ANP]],[1]!abril6[Codigo Amostra],[1]!abril6[Massa
Específica])</f>
        <v>847.7</v>
      </c>
      <c r="D131">
        <f>_xlfn.XLOOKUP([1]!Tabela9[[#This Row],[Codigo ANP]],[1]!abril6[Codigo Amostra],[1]!abril6[Teor de
Enxofre])</f>
        <v>280</v>
      </c>
    </row>
    <row r="132" spans="1:4" x14ac:dyDescent="0.3">
      <c r="A132" t="str">
        <f>[1]!Tabela9[[#This Row],[Código LEC]]&amp;".csv"</f>
        <v>36708.csv</v>
      </c>
      <c r="B132">
        <f>_xlfn.XLOOKUP([1]!Tabela9[[#This Row],[Codigo ANP]],[1]!abril6[Codigo Amostra],[1]!abril6[Ponto de fulgor])</f>
        <v>56</v>
      </c>
      <c r="C132">
        <f>_xlfn.XLOOKUP([1]!Tabela9[[#This Row],[Codigo ANP]],[1]!abril6[Codigo Amostra],[1]!abril6[Massa
Específica])</f>
        <v>865.4</v>
      </c>
      <c r="D132">
        <f>_xlfn.XLOOKUP([1]!Tabela9[[#This Row],[Codigo ANP]],[1]!abril6[Codigo Amostra],[1]!abril6[Teor de
Enxofre])</f>
        <v>350</v>
      </c>
    </row>
    <row r="133" spans="1:4" x14ac:dyDescent="0.3">
      <c r="A133" t="str">
        <f>[1]!Tabela9[[#This Row],[Código LEC]]&amp;".csv"</f>
        <v>36711.csv</v>
      </c>
      <c r="B133">
        <f>_xlfn.XLOOKUP([1]!Tabela9[[#This Row],[Codigo ANP]],[1]!abril6[Codigo Amostra],[1]!abril6[Ponto de fulgor])</f>
        <v>49</v>
      </c>
      <c r="C133">
        <f>_xlfn.XLOOKUP([1]!Tabela9[[#This Row],[Codigo ANP]],[1]!abril6[Codigo Amostra],[1]!abril6[Massa
Específica])</f>
        <v>843.1</v>
      </c>
      <c r="D133">
        <f>_xlfn.XLOOKUP([1]!Tabela9[[#This Row],[Codigo ANP]],[1]!abril6[Codigo Amostra],[1]!abril6[Teor de
Enxofre])</f>
        <v>7.3</v>
      </c>
    </row>
    <row r="134" spans="1:4" x14ac:dyDescent="0.3">
      <c r="A134" t="str">
        <f>[1]!Tabela9[[#This Row],[Código LEC]]&amp;".csv"</f>
        <v>36714.csv</v>
      </c>
      <c r="B134">
        <f>_xlfn.XLOOKUP([1]!Tabela9[[#This Row],[Codigo ANP]],[1]!abril6[Codigo Amostra],[1]!abril6[Ponto de fulgor])</f>
        <v>56</v>
      </c>
      <c r="C134">
        <f>_xlfn.XLOOKUP([1]!Tabela9[[#This Row],[Codigo ANP]],[1]!abril6[Codigo Amostra],[1]!abril6[Massa
Específica])</f>
        <v>862.7</v>
      </c>
      <c r="D134">
        <f>_xlfn.XLOOKUP([1]!Tabela9[[#This Row],[Codigo ANP]],[1]!abril6[Codigo Amostra],[1]!abril6[Teor de
Enxofre])</f>
        <v>210</v>
      </c>
    </row>
    <row r="135" spans="1:4" x14ac:dyDescent="0.3">
      <c r="A135" t="str">
        <f>[1]!Tabela9[[#This Row],[Código LEC]]&amp;".csv"</f>
        <v>36717.csv</v>
      </c>
      <c r="B135">
        <f>_xlfn.XLOOKUP([1]!Tabela9[[#This Row],[Codigo ANP]],[1]!abril6[Codigo Amostra],[1]!abril6[Ponto de fulgor])</f>
        <v>51.2</v>
      </c>
      <c r="C135">
        <f>_xlfn.XLOOKUP([1]!Tabela9[[#This Row],[Codigo ANP]],[1]!abril6[Codigo Amostra],[1]!abril6[Massa
Específica])</f>
        <v>860.6</v>
      </c>
      <c r="D135">
        <f>_xlfn.XLOOKUP([1]!Tabela9[[#This Row],[Codigo ANP]],[1]!abril6[Codigo Amostra],[1]!abril6[Teor de
Enxofre])</f>
        <v>180</v>
      </c>
    </row>
    <row r="136" spans="1:4" x14ac:dyDescent="0.3">
      <c r="A136" t="str">
        <f>[1]!Tabela9[[#This Row],[Código LEC]]&amp;".csv"</f>
        <v>36727.csv</v>
      </c>
      <c r="B136">
        <f>_xlfn.XLOOKUP([1]!Tabela9[[#This Row],[Codigo ANP]],[1]!abril6[Codigo Amostra],[1]!abril6[Ponto de fulgor])</f>
        <v>59.2</v>
      </c>
      <c r="C136">
        <f>_xlfn.XLOOKUP([1]!Tabela9[[#This Row],[Codigo ANP]],[1]!abril6[Codigo Amostra],[1]!abril6[Massa
Específica])</f>
        <v>862.8</v>
      </c>
      <c r="D136">
        <f>_xlfn.XLOOKUP([1]!Tabela9[[#This Row],[Codigo ANP]],[1]!abril6[Codigo Amostra],[1]!abril6[Teor de
Enxofre])</f>
        <v>270</v>
      </c>
    </row>
    <row r="137" spans="1:4" x14ac:dyDescent="0.3">
      <c r="A137" t="str">
        <f>[1]!Tabela9[[#This Row],[Código LEC]]&amp;".csv"</f>
        <v>36740.csv</v>
      </c>
      <c r="B137">
        <f>_xlfn.XLOOKUP([1]!Tabela9[[#This Row],[Codigo ANP]],[1]!abril6[Codigo Amostra],[1]!abril6[Ponto de fulgor])</f>
        <v>17.7</v>
      </c>
      <c r="C137">
        <f>_xlfn.XLOOKUP([1]!Tabela9[[#This Row],[Codigo ANP]],[1]!abril6[Codigo Amostra],[1]!abril6[Massa
Específica])</f>
        <v>840.4</v>
      </c>
      <c r="D137">
        <f>_xlfn.XLOOKUP([1]!Tabela9[[#This Row],[Codigo ANP]],[1]!abril6[Codigo Amostra],[1]!abril6[Teor de
Enxofre])</f>
        <v>10</v>
      </c>
    </row>
    <row r="138" spans="1:4" x14ac:dyDescent="0.3">
      <c r="A138" t="str">
        <f>[1]!Tabela9[[#This Row],[Código LEC]]&amp;".csv"</f>
        <v>36746.csv</v>
      </c>
      <c r="B138">
        <f>_xlfn.XLOOKUP([1]!Tabela9[[#This Row],[Codigo ANP]],[1]!abril6[Codigo Amostra],[1]!abril6[Ponto de fulgor])</f>
        <v>51</v>
      </c>
      <c r="C138">
        <f>_xlfn.XLOOKUP([1]!Tabela9[[#This Row],[Codigo ANP]],[1]!abril6[Codigo Amostra],[1]!abril6[Massa
Específica])</f>
        <v>854.8</v>
      </c>
      <c r="D138">
        <f>_xlfn.XLOOKUP([1]!Tabela9[[#This Row],[Codigo ANP]],[1]!abril6[Codigo Amostra],[1]!abril6[Teor de
Enxofre])</f>
        <v>120</v>
      </c>
    </row>
    <row r="139" spans="1:4" x14ac:dyDescent="0.3">
      <c r="A139" t="str">
        <f>[1]!Tabela9[[#This Row],[Código LEC]]&amp;".csv"</f>
        <v>36752.csv</v>
      </c>
      <c r="B139">
        <f>_xlfn.XLOOKUP([1]!Tabela9[[#This Row],[Codigo ANP]],[1]!abril6[Codigo Amostra],[1]!abril6[Ponto de fulgor])</f>
        <v>35.1</v>
      </c>
      <c r="C139">
        <f>_xlfn.XLOOKUP([1]!Tabela9[[#This Row],[Codigo ANP]],[1]!abril6[Codigo Amostra],[1]!abril6[Massa
Específica])</f>
        <v>837.5</v>
      </c>
      <c r="D139">
        <f>_xlfn.XLOOKUP([1]!Tabela9[[#This Row],[Codigo ANP]],[1]!abril6[Codigo Amostra],[1]!abril6[Teor de
Enxofre])</f>
        <v>5.7</v>
      </c>
    </row>
    <row r="140" spans="1:4" x14ac:dyDescent="0.3">
      <c r="A140" t="str">
        <f>[1]!Tabela9[[#This Row],[Código LEC]]&amp;".csv"</f>
        <v>36755.csv</v>
      </c>
      <c r="B140">
        <f>_xlfn.XLOOKUP([1]!Tabela9[[#This Row],[Codigo ANP]],[1]!abril6[Codigo Amostra],[1]!abril6[Ponto de fulgor])</f>
        <v>49</v>
      </c>
      <c r="C140">
        <f>_xlfn.XLOOKUP([1]!Tabela9[[#This Row],[Codigo ANP]],[1]!abril6[Codigo Amostra],[1]!abril6[Massa
Específica])</f>
        <v>851.7</v>
      </c>
      <c r="D140">
        <f>_xlfn.XLOOKUP([1]!Tabela9[[#This Row],[Codigo ANP]],[1]!abril6[Codigo Amostra],[1]!abril6[Teor de
Enxofre])</f>
        <v>140</v>
      </c>
    </row>
    <row r="141" spans="1:4" x14ac:dyDescent="0.3">
      <c r="A141" t="str">
        <f>[1]!Tabela9[[#This Row],[Código LEC]]&amp;".csv"</f>
        <v>36761.csv</v>
      </c>
      <c r="B141">
        <f>_xlfn.XLOOKUP([1]!Tabela9[[#This Row],[Codigo ANP]],[1]!abril6[Codigo Amostra],[1]!abril6[Ponto de fulgor])</f>
        <v>52</v>
      </c>
      <c r="C141">
        <f>_xlfn.XLOOKUP([1]!Tabela9[[#This Row],[Codigo ANP]],[1]!abril6[Codigo Amostra],[1]!abril6[Massa
Específica])</f>
        <v>861.6</v>
      </c>
      <c r="D141">
        <f>_xlfn.XLOOKUP([1]!Tabela9[[#This Row],[Codigo ANP]],[1]!abril6[Codigo Amostra],[1]!abril6[Teor de
Enxofre])</f>
        <v>320</v>
      </c>
    </row>
    <row r="142" spans="1:4" x14ac:dyDescent="0.3">
      <c r="A142" t="str">
        <f>[1]!Tabela9[[#This Row],[Código LEC]]&amp;".csv"</f>
        <v>36768.csv</v>
      </c>
      <c r="B142">
        <f>_xlfn.XLOOKUP([1]!Tabela9[[#This Row],[Codigo ANP]],[1]!abril6[Codigo Amostra],[1]!abril6[Ponto de fulgor])</f>
        <v>55</v>
      </c>
      <c r="C142">
        <f>_xlfn.XLOOKUP([1]!Tabela9[[#This Row],[Codigo ANP]],[1]!abril6[Codigo Amostra],[1]!abril6[Massa
Específica])</f>
        <v>862.8</v>
      </c>
      <c r="D142">
        <f>_xlfn.XLOOKUP([1]!Tabela9[[#This Row],[Codigo ANP]],[1]!abril6[Codigo Amostra],[1]!abril6[Teor de
Enxofre])</f>
        <v>166</v>
      </c>
    </row>
    <row r="143" spans="1:4" x14ac:dyDescent="0.3">
      <c r="A143" t="str">
        <f>[1]!Tabela9[[#This Row],[Código LEC]]&amp;".csv"</f>
        <v>36774.csv</v>
      </c>
      <c r="B143">
        <f>_xlfn.XLOOKUP([1]!Tabela9[[#This Row],[Codigo ANP]],[1]!abril6[Codigo Amostra],[1]!abril6[Ponto de fulgor])</f>
        <v>40.200000000000003</v>
      </c>
      <c r="C143">
        <f>_xlfn.XLOOKUP([1]!Tabela9[[#This Row],[Codigo ANP]],[1]!abril6[Codigo Amostra],[1]!abril6[Massa
Específica])</f>
        <v>861.1</v>
      </c>
      <c r="D143">
        <f>_xlfn.XLOOKUP([1]!Tabela9[[#This Row],[Codigo ANP]],[1]!abril6[Codigo Amostra],[1]!abril6[Teor de
Enxofre])</f>
        <v>290</v>
      </c>
    </row>
    <row r="144" spans="1:4" x14ac:dyDescent="0.3">
      <c r="A144" t="str">
        <f>[1]!Tabela9[[#This Row],[Código LEC]]&amp;".csv"</f>
        <v>36778.csv</v>
      </c>
      <c r="B144">
        <f>_xlfn.XLOOKUP([1]!Tabela9[[#This Row],[Codigo ANP]],[1]!abril6[Codigo Amostra],[1]!abril6[Ponto de fulgor])</f>
        <v>21.4</v>
      </c>
      <c r="C144">
        <f>_xlfn.XLOOKUP([1]!Tabela9[[#This Row],[Codigo ANP]],[1]!abril6[Codigo Amostra],[1]!abril6[Massa
Específica])</f>
        <v>860.6</v>
      </c>
      <c r="D144">
        <f>_xlfn.XLOOKUP([1]!Tabela9[[#This Row],[Codigo ANP]],[1]!abril6[Codigo Amostra],[1]!abril6[Teor de
Enxofre])</f>
        <v>350</v>
      </c>
    </row>
    <row r="145" spans="1:4" x14ac:dyDescent="0.3">
      <c r="A145" t="str">
        <f>[1]!Tabela9[[#This Row],[Código LEC]]&amp;".csv"</f>
        <v>36784.csv</v>
      </c>
      <c r="B145">
        <f>_xlfn.XLOOKUP([1]!Tabela9[[#This Row],[Codigo ANP]],[1]!abril6[Codigo Amostra],[1]!abril6[Ponto de fulgor])</f>
        <v>52.2</v>
      </c>
      <c r="C145">
        <f>_xlfn.XLOOKUP([1]!Tabela9[[#This Row],[Codigo ANP]],[1]!abril6[Codigo Amostra],[1]!abril6[Massa
Específica])</f>
        <v>862.7</v>
      </c>
      <c r="D145">
        <f>_xlfn.XLOOKUP([1]!Tabela9[[#This Row],[Codigo ANP]],[1]!abril6[Codigo Amostra],[1]!abril6[Teor de
Enxofre])</f>
        <v>270</v>
      </c>
    </row>
    <row r="146" spans="1:4" x14ac:dyDescent="0.3">
      <c r="A146" t="str">
        <f>[1]!Tabela9[[#This Row],[Código LEC]]&amp;".csv"</f>
        <v>36790.csv</v>
      </c>
      <c r="B146">
        <f>_xlfn.XLOOKUP([1]!Tabela9[[#This Row],[Codigo ANP]],[1]!abril6[Codigo Amostra],[1]!abril6[Ponto de fulgor])</f>
        <v>38.1</v>
      </c>
      <c r="C146">
        <f>_xlfn.XLOOKUP([1]!Tabela9[[#This Row],[Codigo ANP]],[1]!abril6[Codigo Amostra],[1]!abril6[Massa
Específica])</f>
        <v>840.9</v>
      </c>
      <c r="D146">
        <f>_xlfn.XLOOKUP([1]!Tabela9[[#This Row],[Codigo ANP]],[1]!abril6[Codigo Amostra],[1]!abril6[Teor de
Enxofre])</f>
        <v>4.2</v>
      </c>
    </row>
    <row r="147" spans="1:4" x14ac:dyDescent="0.3">
      <c r="A147" t="str">
        <f>[1]!Tabela9[[#This Row],[Código LEC]]&amp;".csv"</f>
        <v>36793.csv</v>
      </c>
      <c r="B147">
        <f>_xlfn.XLOOKUP([1]!Tabela9[[#This Row],[Codigo ANP]],[1]!abril6[Codigo Amostra],[1]!abril6[Ponto de fulgor])</f>
        <v>45.2</v>
      </c>
      <c r="C147">
        <f>_xlfn.XLOOKUP([1]!Tabela9[[#This Row],[Codigo ANP]],[1]!abril6[Codigo Amostra],[1]!abril6[Massa
Específica])</f>
        <v>845.5</v>
      </c>
      <c r="D147">
        <f>_xlfn.XLOOKUP([1]!Tabela9[[#This Row],[Codigo ANP]],[1]!abril6[Codigo Amostra],[1]!abril6[Teor de
Enxofre])</f>
        <v>120</v>
      </c>
    </row>
    <row r="148" spans="1:4" x14ac:dyDescent="0.3">
      <c r="A148" t="str">
        <f>[1]!Tabela9[[#This Row],[Código LEC]]&amp;".csv"</f>
        <v>36796.csv</v>
      </c>
      <c r="B148">
        <f>_xlfn.XLOOKUP([1]!Tabela9[[#This Row],[Codigo ANP]],[1]!abril6[Codigo Amostra],[1]!abril6[Ponto de fulgor])</f>
        <v>46.5</v>
      </c>
      <c r="C148">
        <f>_xlfn.XLOOKUP([1]!Tabela9[[#This Row],[Codigo ANP]],[1]!abril6[Codigo Amostra],[1]!abril6[Massa
Específica])</f>
        <v>847.5</v>
      </c>
      <c r="D148">
        <f>_xlfn.XLOOKUP([1]!Tabela9[[#This Row],[Codigo ANP]],[1]!abril6[Codigo Amostra],[1]!abril6[Teor de
Enxofre])</f>
        <v>97</v>
      </c>
    </row>
    <row r="149" spans="1:4" x14ac:dyDescent="0.3">
      <c r="A149" t="str">
        <f>[1]!Tabela9[[#This Row],[Código LEC]]&amp;".csv"</f>
        <v>36805.csv</v>
      </c>
      <c r="B149">
        <f>_xlfn.XLOOKUP([1]!Tabela9[[#This Row],[Codigo ANP]],[1]!abril6[Codigo Amostra],[1]!abril6[Ponto de fulgor])</f>
        <v>50.2</v>
      </c>
      <c r="C149">
        <f>_xlfn.XLOOKUP([1]!Tabela9[[#This Row],[Codigo ANP]],[1]!abril6[Codigo Amostra],[1]!abril6[Massa
Específica])</f>
        <v>846.8</v>
      </c>
      <c r="D149">
        <f>_xlfn.XLOOKUP([1]!Tabela9[[#This Row],[Codigo ANP]],[1]!abril6[Codigo Amostra],[1]!abril6[Teor de
Enxofre])</f>
        <v>64</v>
      </c>
    </row>
    <row r="150" spans="1:4" x14ac:dyDescent="0.3">
      <c r="A150" t="str">
        <f>[1]!Tabela9[[#This Row],[Código LEC]]&amp;".csv"</f>
        <v>36815.csv</v>
      </c>
      <c r="B150">
        <f>_xlfn.XLOOKUP([1]!Tabela9[[#This Row],[Codigo ANP]],[1]!abril6[Codigo Amostra],[1]!abril6[Ponto de fulgor])</f>
        <v>41.1</v>
      </c>
      <c r="C150">
        <f>_xlfn.XLOOKUP([1]!Tabela9[[#This Row],[Codigo ANP]],[1]!abril6[Codigo Amostra],[1]!abril6[Massa
Específica])</f>
        <v>840.2</v>
      </c>
      <c r="D150">
        <f>_xlfn.XLOOKUP([1]!Tabela9[[#This Row],[Codigo ANP]],[1]!abril6[Codigo Amostra],[1]!abril6[Teor de
Enxofre])</f>
        <v>4</v>
      </c>
    </row>
    <row r="151" spans="1:4" x14ac:dyDescent="0.3">
      <c r="A151" t="str">
        <f>[1]!Tabela9[[#This Row],[Código LEC]]&amp;".csv"</f>
        <v>36824.csv</v>
      </c>
      <c r="B151">
        <f>_xlfn.XLOOKUP([1]!Tabela9[[#This Row],[Codigo ANP]],[1]!abril6[Codigo Amostra],[1]!abril6[Ponto de fulgor])</f>
        <v>50.5</v>
      </c>
      <c r="C151">
        <f>_xlfn.XLOOKUP([1]!Tabela9[[#This Row],[Codigo ANP]],[1]!abril6[Codigo Amostra],[1]!abril6[Massa
Específica])</f>
        <v>842</v>
      </c>
      <c r="D151">
        <f>_xlfn.XLOOKUP([1]!Tabela9[[#This Row],[Codigo ANP]],[1]!abril6[Codigo Amostra],[1]!abril6[Teor de
Enxofre])</f>
        <v>3.6</v>
      </c>
    </row>
    <row r="152" spans="1:4" x14ac:dyDescent="0.3">
      <c r="A152" t="str">
        <f>[1]!Tabela9[[#This Row],[Código LEC]]&amp;".csv"</f>
        <v>36828.csv</v>
      </c>
      <c r="B152">
        <f>_xlfn.XLOOKUP([1]!Tabela9[[#This Row],[Codigo ANP]],[1]!abril6[Codigo Amostra],[1]!abril6[Ponto de fulgor])</f>
        <v>46.2</v>
      </c>
      <c r="C152">
        <f>_xlfn.XLOOKUP([1]!Tabela9[[#This Row],[Codigo ANP]],[1]!abril6[Codigo Amostra],[1]!abril6[Massa
Específica])</f>
        <v>846.8</v>
      </c>
      <c r="D152">
        <f>_xlfn.XLOOKUP([1]!Tabela9[[#This Row],[Codigo ANP]],[1]!abril6[Codigo Amostra],[1]!abril6[Teor de
Enxofre])</f>
        <v>130</v>
      </c>
    </row>
    <row r="153" spans="1:4" x14ac:dyDescent="0.3">
      <c r="A153" t="str">
        <f>[1]!Tabela9[[#This Row],[Código LEC]]&amp;".csv"</f>
        <v>36834.csv</v>
      </c>
      <c r="B153">
        <f>_xlfn.XLOOKUP([1]!Tabela9[[#This Row],[Codigo ANP]],[1]!abril6[Codigo Amostra],[1]!abril6[Ponto de fulgor])</f>
        <v>52.2</v>
      </c>
      <c r="C153">
        <f>_xlfn.XLOOKUP([1]!Tabela9[[#This Row],[Codigo ANP]],[1]!abril6[Codigo Amostra],[1]!abril6[Massa
Específica])</f>
        <v>840.5</v>
      </c>
      <c r="D153">
        <f>_xlfn.XLOOKUP([1]!Tabela9[[#This Row],[Codigo ANP]],[1]!abril6[Codigo Amostra],[1]!abril6[Teor de
Enxofre])</f>
        <v>3.5</v>
      </c>
    </row>
    <row r="154" spans="1:4" x14ac:dyDescent="0.3">
      <c r="A154" t="str">
        <f>[1]!Tabela9[[#This Row],[Código LEC]]&amp;".csv"</f>
        <v>36842.csv</v>
      </c>
      <c r="B154">
        <f>_xlfn.XLOOKUP([1]!Tabela9[[#This Row],[Codigo ANP]],[1]!abril6[Codigo Amostra],[1]!abril6[Ponto de fulgor])</f>
        <v>50.2</v>
      </c>
      <c r="C154">
        <f>_xlfn.XLOOKUP([1]!Tabela9[[#This Row],[Codigo ANP]],[1]!abril6[Codigo Amostra],[1]!abril6[Massa
Específica])</f>
        <v>839.2</v>
      </c>
      <c r="D154">
        <f>_xlfn.XLOOKUP([1]!Tabela9[[#This Row],[Codigo ANP]],[1]!abril6[Codigo Amostra],[1]!abril6[Teor de
Enxofre])</f>
        <v>3.8</v>
      </c>
    </row>
    <row r="155" spans="1:4" x14ac:dyDescent="0.3">
      <c r="A155" t="str">
        <f>[1]!Tabela9[[#This Row],[Código LEC]]&amp;".csv"</f>
        <v>36851.csv</v>
      </c>
      <c r="B155">
        <f>_xlfn.XLOOKUP([1]!Tabela9[[#This Row],[Codigo ANP]],[1]!abril6[Codigo Amostra],[1]!abril6[Ponto de fulgor])</f>
        <v>52.3</v>
      </c>
      <c r="C155">
        <f>_xlfn.XLOOKUP([1]!Tabela9[[#This Row],[Codigo ANP]],[1]!abril6[Codigo Amostra],[1]!abril6[Massa
Específica])</f>
        <v>860.1</v>
      </c>
      <c r="D155">
        <f>_xlfn.XLOOKUP([1]!Tabela9[[#This Row],[Codigo ANP]],[1]!abril6[Codigo Amostra],[1]!abril6[Teor de
Enxofre])</f>
        <v>250</v>
      </c>
    </row>
    <row r="156" spans="1:4" x14ac:dyDescent="0.3">
      <c r="A156" t="str">
        <f>[1]!Tabela9[[#This Row],[Código LEC]]&amp;".csv"</f>
        <v>36863.csv</v>
      </c>
      <c r="B156">
        <f>_xlfn.XLOOKUP([1]!Tabela9[[#This Row],[Codigo ANP]],[1]!abril6[Codigo Amostra],[1]!abril6[Ponto de fulgor])</f>
        <v>48.5</v>
      </c>
      <c r="C156">
        <f>_xlfn.XLOOKUP([1]!Tabela9[[#This Row],[Codigo ANP]],[1]!abril6[Codigo Amostra],[1]!abril6[Massa
Específica])</f>
        <v>862.3</v>
      </c>
      <c r="D156">
        <f>_xlfn.XLOOKUP([1]!Tabela9[[#This Row],[Codigo ANP]],[1]!abril6[Codigo Amostra],[1]!abril6[Teor de
Enxofre])</f>
        <v>380</v>
      </c>
    </row>
    <row r="157" spans="1:4" x14ac:dyDescent="0.3">
      <c r="A157" t="str">
        <f>[1]!Tabela9[[#This Row],[Código LEC]]&amp;".csv"</f>
        <v>36876.csv</v>
      </c>
      <c r="B157">
        <f>_xlfn.XLOOKUP([1]!Tabela9[[#This Row],[Codigo ANP]],[1]!abril6[Codigo Amostra],[1]!abril6[Ponto de fulgor])</f>
        <v>26.5</v>
      </c>
      <c r="C157">
        <f>_xlfn.XLOOKUP([1]!Tabela9[[#This Row],[Codigo ANP]],[1]!abril6[Codigo Amostra],[1]!abril6[Massa
Específica])</f>
        <v>861.1</v>
      </c>
      <c r="D157">
        <f>_xlfn.XLOOKUP([1]!Tabela9[[#This Row],[Codigo ANP]],[1]!abril6[Codigo Amostra],[1]!abril6[Teor de
Enxofre])</f>
        <v>150</v>
      </c>
    </row>
    <row r="158" spans="1:4" x14ac:dyDescent="0.3">
      <c r="A158" t="str">
        <f>[1]!Tabela9[[#This Row],[Código LEC]]&amp;".csv"</f>
        <v>36894.csv</v>
      </c>
      <c r="B158">
        <f>_xlfn.XLOOKUP([1]!Tabela9[[#This Row],[Codigo ANP]],[1]!abril6[Codigo Amostra],[1]!abril6[Ponto de fulgor])</f>
        <v>39</v>
      </c>
      <c r="C158">
        <f>_xlfn.XLOOKUP([1]!Tabela9[[#This Row],[Codigo ANP]],[1]!abril6[Codigo Amostra],[1]!abril6[Massa
Específica])</f>
        <v>846.3</v>
      </c>
      <c r="D158">
        <f>_xlfn.XLOOKUP([1]!Tabela9[[#This Row],[Codigo ANP]],[1]!abril6[Codigo Amostra],[1]!abril6[Teor de
Enxofre])</f>
        <v>0</v>
      </c>
    </row>
    <row r="159" spans="1:4" x14ac:dyDescent="0.3">
      <c r="A159" t="str">
        <f>[1]!Tabela9[[#This Row],[Código LEC]]&amp;".csv"</f>
        <v>36940.csv</v>
      </c>
      <c r="B159">
        <f>_xlfn.XLOOKUP([1]!Tabela9[[#This Row],[Codigo ANP]],[1]!abril6[Codigo Amostra],[1]!abril6[Ponto de fulgor])</f>
        <v>62.1</v>
      </c>
      <c r="C159">
        <f>_xlfn.XLOOKUP([1]!Tabela9[[#This Row],[Codigo ANP]],[1]!abril6[Codigo Amostra],[1]!abril6[Massa
Específica])</f>
        <v>852.5</v>
      </c>
      <c r="D159">
        <f>_xlfn.XLOOKUP([1]!Tabela9[[#This Row],[Codigo ANP]],[1]!abril6[Codigo Amostra],[1]!abril6[Teor de
Enxofre])</f>
        <v>90</v>
      </c>
    </row>
    <row r="160" spans="1:4" x14ac:dyDescent="0.3">
      <c r="A160" t="str">
        <f>[1]!Tabela9[[#This Row],[Código LEC]]&amp;".csv"</f>
        <v>36943.csv</v>
      </c>
      <c r="B160">
        <f>_xlfn.XLOOKUP([1]!Tabela9[[#This Row],[Codigo ANP]],[1]!abril6[Codigo Amostra],[1]!abril6[Ponto de fulgor])</f>
        <v>43</v>
      </c>
      <c r="C160">
        <f>_xlfn.XLOOKUP([1]!Tabela9[[#This Row],[Codigo ANP]],[1]!abril6[Codigo Amostra],[1]!abril6[Massa
Específica])</f>
        <v>852.6</v>
      </c>
      <c r="D160">
        <f>_xlfn.XLOOKUP([1]!Tabela9[[#This Row],[Codigo ANP]],[1]!abril6[Codigo Amostra],[1]!abril6[Teor de
Enxofre])</f>
        <v>30</v>
      </c>
    </row>
    <row r="161" spans="1:4" x14ac:dyDescent="0.3">
      <c r="A161" t="str">
        <f>[1]!Tabela9[[#This Row],[Código LEC]]&amp;".csv"</f>
        <v>36946.csv</v>
      </c>
      <c r="B161">
        <f>_xlfn.XLOOKUP([1]!Tabela9[[#This Row],[Codigo ANP]],[1]!abril6[Codigo Amostra],[1]!abril6[Ponto de fulgor])</f>
        <v>59</v>
      </c>
      <c r="C161">
        <f>_xlfn.XLOOKUP([1]!Tabela9[[#This Row],[Codigo ANP]],[1]!abril6[Codigo Amostra],[1]!abril6[Massa
Específica])</f>
        <v>843.5</v>
      </c>
      <c r="D161">
        <f>_xlfn.XLOOKUP([1]!Tabela9[[#This Row],[Codigo ANP]],[1]!abril6[Codigo Amostra],[1]!abril6[Teor de
Enxofre])</f>
        <v>3.7</v>
      </c>
    </row>
    <row r="162" spans="1:4" x14ac:dyDescent="0.3">
      <c r="A162" t="str">
        <f>[1]!Tabela9[[#This Row],[Código LEC]]&amp;".csv"</f>
        <v>36952.csv</v>
      </c>
      <c r="B162">
        <f>_xlfn.XLOOKUP([1]!Tabela9[[#This Row],[Codigo ANP]],[1]!abril6[Codigo Amostra],[1]!abril6[Ponto de fulgor])</f>
        <v>51</v>
      </c>
      <c r="C162">
        <f>_xlfn.XLOOKUP([1]!Tabela9[[#This Row],[Codigo ANP]],[1]!abril6[Codigo Amostra],[1]!abril6[Massa
Específica])</f>
        <v>860.8</v>
      </c>
      <c r="D162">
        <f>_xlfn.XLOOKUP([1]!Tabela9[[#This Row],[Codigo ANP]],[1]!abril6[Codigo Amostra],[1]!abril6[Teor de
Enxofre])</f>
        <v>220</v>
      </c>
    </row>
    <row r="163" spans="1:4" x14ac:dyDescent="0.3">
      <c r="A163" t="str">
        <f>[1]!Tabela9[[#This Row],[Código LEC]]&amp;".csv"</f>
        <v>36958.csv</v>
      </c>
      <c r="B163">
        <f>_xlfn.XLOOKUP([1]!Tabela9[[#This Row],[Codigo ANP]],[1]!abril6[Codigo Amostra],[1]!abril6[Ponto de fulgor])</f>
        <v>49</v>
      </c>
      <c r="C163">
        <f>_xlfn.XLOOKUP([1]!Tabela9[[#This Row],[Codigo ANP]],[1]!abril6[Codigo Amostra],[1]!abril6[Massa
Específica])</f>
        <v>857.2</v>
      </c>
      <c r="D163">
        <f>_xlfn.XLOOKUP([1]!Tabela9[[#This Row],[Codigo ANP]],[1]!abril6[Codigo Amostra],[1]!abril6[Teor de
Enxofre])</f>
        <v>200</v>
      </c>
    </row>
    <row r="164" spans="1:4" x14ac:dyDescent="0.3">
      <c r="A164" t="str">
        <f>[1]!Tabela9[[#This Row],[Código LEC]]&amp;".csv"</f>
        <v>36968.csv</v>
      </c>
      <c r="B164">
        <f>_xlfn.XLOOKUP([1]!Tabela9[[#This Row],[Codigo ANP]],[1]!abril6[Codigo Amostra],[1]!abril6[Ponto de fulgor])</f>
        <v>51</v>
      </c>
      <c r="C164">
        <f>_xlfn.XLOOKUP([1]!Tabela9[[#This Row],[Codigo ANP]],[1]!abril6[Codigo Amostra],[1]!abril6[Massa
Específica])</f>
        <v>861.4</v>
      </c>
      <c r="D164">
        <f>_xlfn.XLOOKUP([1]!Tabela9[[#This Row],[Codigo ANP]],[1]!abril6[Codigo Amostra],[1]!abril6[Teor de
Enxofre])</f>
        <v>140</v>
      </c>
    </row>
    <row r="165" spans="1:4" x14ac:dyDescent="0.3">
      <c r="A165" t="str">
        <f>[1]!Tabela9[[#This Row],[Código LEC]]&amp;".csv"</f>
        <v>36978.csv</v>
      </c>
      <c r="B165">
        <f>_xlfn.XLOOKUP([1]!Tabela9[[#This Row],[Codigo ANP]],[1]!abril6[Codigo Amostra],[1]!abril6[Ponto de fulgor])</f>
        <v>51.1</v>
      </c>
      <c r="C165">
        <f>_xlfn.XLOOKUP([1]!Tabela9[[#This Row],[Codigo ANP]],[1]!abril6[Codigo Amostra],[1]!abril6[Massa
Específica])</f>
        <v>861.9</v>
      </c>
      <c r="D165">
        <f>_xlfn.XLOOKUP([1]!Tabela9[[#This Row],[Codigo ANP]],[1]!abril6[Codigo Amostra],[1]!abril6[Teor de
Enxofre])</f>
        <v>200</v>
      </c>
    </row>
    <row r="166" spans="1:4" x14ac:dyDescent="0.3">
      <c r="A166" t="str">
        <f>[1]!Tabela9[[#This Row],[Código LEC]]&amp;".csv"</f>
        <v>36981.csv</v>
      </c>
      <c r="B166">
        <f>_xlfn.XLOOKUP([1]!Tabela9[[#This Row],[Codigo ANP]],[1]!abril6[Codigo Amostra],[1]!abril6[Ponto de fulgor])</f>
        <v>50</v>
      </c>
      <c r="C166">
        <f>_xlfn.XLOOKUP([1]!Tabela9[[#This Row],[Codigo ANP]],[1]!abril6[Codigo Amostra],[1]!abril6[Massa
Específica])</f>
        <v>841.8</v>
      </c>
      <c r="D166">
        <f>_xlfn.XLOOKUP([1]!Tabela9[[#This Row],[Codigo ANP]],[1]!abril6[Codigo Amostra],[1]!abril6[Teor de
Enxofre])</f>
        <v>0</v>
      </c>
    </row>
    <row r="167" spans="1:4" x14ac:dyDescent="0.3">
      <c r="A167" t="str">
        <f>[1]!Tabela9[[#This Row],[Código LEC]]&amp;".csv"</f>
        <v>36999.csv</v>
      </c>
      <c r="B167">
        <f>_xlfn.XLOOKUP([1]!Tabela9[[#This Row],[Codigo ANP]],[1]!abril6[Codigo Amostra],[1]!abril6[Ponto de fulgor])</f>
        <v>52</v>
      </c>
      <c r="C167">
        <f>_xlfn.XLOOKUP([1]!Tabela9[[#This Row],[Codigo ANP]],[1]!abril6[Codigo Amostra],[1]!abril6[Massa
Específica])</f>
        <v>839.1</v>
      </c>
      <c r="D167">
        <f>_xlfn.XLOOKUP([1]!Tabela9[[#This Row],[Codigo ANP]],[1]!abril6[Codigo Amostra],[1]!abril6[Teor de
Enxofre])</f>
        <v>0</v>
      </c>
    </row>
    <row r="168" spans="1:4" x14ac:dyDescent="0.3">
      <c r="A168" t="str">
        <f>[1]!Tabela9[[#This Row],[Código LEC]]&amp;".csv"</f>
        <v>37005.csv</v>
      </c>
      <c r="B168">
        <f>_xlfn.XLOOKUP([1]!Tabela9[[#This Row],[Codigo ANP]],[1]!abril6[Codigo Amostra],[1]!abril6[Ponto de fulgor])</f>
        <v>48.5</v>
      </c>
      <c r="C168">
        <f>_xlfn.XLOOKUP([1]!Tabela9[[#This Row],[Codigo ANP]],[1]!abril6[Codigo Amostra],[1]!abril6[Massa
Específica])</f>
        <v>839.9</v>
      </c>
      <c r="D168">
        <f>_xlfn.XLOOKUP([1]!Tabela9[[#This Row],[Codigo ANP]],[1]!abril6[Codigo Amostra],[1]!abril6[Teor de
Enxofre])</f>
        <v>5.2</v>
      </c>
    </row>
    <row r="169" spans="1:4" x14ac:dyDescent="0.3">
      <c r="A169" t="str">
        <f>[1]!Tabela9[[#This Row],[Código LEC]]&amp;".csv"</f>
        <v>37008.csv</v>
      </c>
      <c r="B169">
        <f>_xlfn.XLOOKUP([1]!Tabela9[[#This Row],[Codigo ANP]],[1]!abril6[Codigo Amostra],[1]!abril6[Ponto de fulgor])</f>
        <v>44.5</v>
      </c>
      <c r="C169">
        <f>_xlfn.XLOOKUP([1]!Tabela9[[#This Row],[Codigo ANP]],[1]!abril6[Codigo Amostra],[1]!abril6[Massa
Específica])</f>
        <v>844.9</v>
      </c>
      <c r="D169">
        <f>_xlfn.XLOOKUP([1]!Tabela9[[#This Row],[Codigo ANP]],[1]!abril6[Codigo Amostra],[1]!abril6[Teor de
Enxofre])</f>
        <v>54</v>
      </c>
    </row>
    <row r="170" spans="1:4" x14ac:dyDescent="0.3">
      <c r="A170" t="str">
        <f>[1]!Tabela9[[#This Row],[Código LEC]]&amp;".csv"</f>
        <v>37018.csv</v>
      </c>
      <c r="B170">
        <f>_xlfn.XLOOKUP([1]!Tabela9[[#This Row],[Codigo ANP]],[1]!abril6[Codigo Amostra],[1]!abril6[Ponto de fulgor])</f>
        <v>43</v>
      </c>
      <c r="C170">
        <f>_xlfn.XLOOKUP([1]!Tabela9[[#This Row],[Codigo ANP]],[1]!abril6[Codigo Amostra],[1]!abril6[Massa
Específica])</f>
        <v>841.6</v>
      </c>
      <c r="D170">
        <f>_xlfn.XLOOKUP([1]!Tabela9[[#This Row],[Codigo ANP]],[1]!abril6[Codigo Amostra],[1]!abril6[Teor de
Enxofre])</f>
        <v>6.9</v>
      </c>
    </row>
    <row r="171" spans="1:4" x14ac:dyDescent="0.3">
      <c r="A171" t="str">
        <f>[1]!Tabela9[[#This Row],[Código LEC]]&amp;".csv"</f>
        <v>37023.csv</v>
      </c>
      <c r="B171">
        <f>_xlfn.XLOOKUP([1]!Tabela9[[#This Row],[Codigo ANP]],[1]!abril6[Codigo Amostra],[1]!abril6[Ponto de fulgor])</f>
        <v>54.5</v>
      </c>
      <c r="C171">
        <f>_xlfn.XLOOKUP([1]!Tabela9[[#This Row],[Codigo ANP]],[1]!abril6[Codigo Amostra],[1]!abril6[Massa
Específica])</f>
        <v>839.9</v>
      </c>
      <c r="D171">
        <f>_xlfn.XLOOKUP([1]!Tabela9[[#This Row],[Codigo ANP]],[1]!abril6[Codigo Amostra],[1]!abril6[Teor de
Enxofre])</f>
        <v>6.1</v>
      </c>
    </row>
    <row r="172" spans="1:4" x14ac:dyDescent="0.3">
      <c r="A172" t="str">
        <f>[1]!Tabela9[[#This Row],[Código LEC]]&amp;".csv"</f>
        <v>37046.csv</v>
      </c>
      <c r="B172">
        <f>_xlfn.XLOOKUP([1]!Tabela9[[#This Row],[Codigo ANP]],[1]!abril6[Codigo Amostra],[1]!abril6[Ponto de fulgor])</f>
        <v>48.6</v>
      </c>
      <c r="C172">
        <f>_xlfn.XLOOKUP([1]!Tabela9[[#This Row],[Codigo ANP]],[1]!abril6[Codigo Amostra],[1]!abril6[Massa
Específica])</f>
        <v>844.4</v>
      </c>
      <c r="D172">
        <f>_xlfn.XLOOKUP([1]!Tabela9[[#This Row],[Codigo ANP]],[1]!abril6[Codigo Amostra],[1]!abril6[Teor de
Enxofre])</f>
        <v>6.4</v>
      </c>
    </row>
    <row r="173" spans="1:4" x14ac:dyDescent="0.3">
      <c r="A173" t="str">
        <f>[1]!Tabela9[[#This Row],[Código LEC]]&amp;".csv"</f>
        <v>37049.csv</v>
      </c>
      <c r="B173">
        <f>_xlfn.XLOOKUP([1]!Tabela9[[#This Row],[Codigo ANP]],[1]!abril6[Codigo Amostra],[1]!abril6[Ponto de fulgor])</f>
        <v>46.5</v>
      </c>
      <c r="C173">
        <f>_xlfn.XLOOKUP([1]!Tabela9[[#This Row],[Codigo ANP]],[1]!abril6[Codigo Amostra],[1]!abril6[Massa
Específica])</f>
        <v>844.4</v>
      </c>
      <c r="D173">
        <f>_xlfn.XLOOKUP([1]!Tabela9[[#This Row],[Codigo ANP]],[1]!abril6[Codigo Amostra],[1]!abril6[Teor de
Enxofre])</f>
        <v>6.3</v>
      </c>
    </row>
    <row r="174" spans="1:4" x14ac:dyDescent="0.3">
      <c r="A174" t="str">
        <f>[1]!Tabela9[[#This Row],[Código LEC]]&amp;".csv"</f>
        <v>37080.csv</v>
      </c>
      <c r="B174">
        <f>_xlfn.XLOOKUP([1]!Tabela9[[#This Row],[Codigo ANP]],[1]!abril6[Codigo Amostra],[1]!abril6[Ponto de fulgor])</f>
        <v>51.1</v>
      </c>
      <c r="C174">
        <f>_xlfn.XLOOKUP([1]!Tabela9[[#This Row],[Codigo ANP]],[1]!abril6[Codigo Amostra],[1]!abril6[Massa
Específica])</f>
        <v>843.4</v>
      </c>
      <c r="D174">
        <f>_xlfn.XLOOKUP([1]!Tabela9[[#This Row],[Codigo ANP]],[1]!abril6[Codigo Amostra],[1]!abril6[Teor de
Enxofre])</f>
        <v>6.5</v>
      </c>
    </row>
    <row r="175" spans="1:4" x14ac:dyDescent="0.3">
      <c r="A175" t="str">
        <f>[1]!Tabela9[[#This Row],[Código LEC]]&amp;".csv"</f>
        <v>37084.csv</v>
      </c>
      <c r="B175">
        <f>_xlfn.XLOOKUP([1]!Tabela9[[#This Row],[Codigo ANP]],[1]!abril6[Codigo Amostra],[1]!abril6[Ponto de fulgor])</f>
        <v>49.6</v>
      </c>
      <c r="C175">
        <f>_xlfn.XLOOKUP([1]!Tabela9[[#This Row],[Codigo ANP]],[1]!abril6[Codigo Amostra],[1]!abril6[Massa
Específica])</f>
        <v>859.1</v>
      </c>
      <c r="D175">
        <f>_xlfn.XLOOKUP([1]!Tabela9[[#This Row],[Codigo ANP]],[1]!abril6[Codigo Amostra],[1]!abril6[Teor de
Enxofre])</f>
        <v>380</v>
      </c>
    </row>
    <row r="176" spans="1:4" x14ac:dyDescent="0.3">
      <c r="A176" t="str">
        <f>[1]!Tabela9[[#This Row],[Código LEC]]&amp;".csv"</f>
        <v>37103.csv</v>
      </c>
      <c r="B176">
        <f>_xlfn.XLOOKUP([1]!Tabela9[[#This Row],[Codigo ANP]],[1]!abril6[Codigo Amostra],[1]!abril6[Ponto de fulgor])</f>
        <v>54.1</v>
      </c>
      <c r="C176">
        <f>_xlfn.XLOOKUP([1]!Tabela9[[#This Row],[Codigo ANP]],[1]!abril6[Codigo Amostra],[1]!abril6[Massa
Específica])</f>
        <v>861.9</v>
      </c>
      <c r="D176">
        <f>_xlfn.XLOOKUP([1]!Tabela9[[#This Row],[Codigo ANP]],[1]!abril6[Codigo Amostra],[1]!abril6[Teor de
Enxofre])</f>
        <v>170</v>
      </c>
    </row>
    <row r="177" spans="1:4" x14ac:dyDescent="0.3">
      <c r="A177" t="str">
        <f>[1]!Tabela9[[#This Row],[Código LEC]]&amp;".csv"</f>
        <v>37106.csv</v>
      </c>
      <c r="B177">
        <f>_xlfn.XLOOKUP([1]!Tabela9[[#This Row],[Codigo ANP]],[1]!abril6[Codigo Amostra],[1]!abril6[Ponto de fulgor])</f>
        <v>54.1</v>
      </c>
      <c r="C177">
        <f>_xlfn.XLOOKUP([1]!Tabela9[[#This Row],[Codigo ANP]],[1]!abril6[Codigo Amostra],[1]!abril6[Massa
Específica])</f>
        <v>862</v>
      </c>
      <c r="D177">
        <f>_xlfn.XLOOKUP([1]!Tabela9[[#This Row],[Codigo ANP]],[1]!abril6[Codigo Amostra],[1]!abril6[Teor de
Enxofre])</f>
        <v>330</v>
      </c>
    </row>
    <row r="178" spans="1:4" x14ac:dyDescent="0.3">
      <c r="A178" t="str">
        <f>[1]!Tabela9[[#This Row],[Código LEC]]&amp;".csv"</f>
        <v>37118.csv</v>
      </c>
      <c r="B178">
        <f>_xlfn.XLOOKUP([1]!Tabela9[[#This Row],[Codigo ANP]],[1]!abril6[Codigo Amostra],[1]!abril6[Ponto de fulgor])</f>
        <v>52.1</v>
      </c>
      <c r="C178">
        <f>_xlfn.XLOOKUP([1]!Tabela9[[#This Row],[Codigo ANP]],[1]!abril6[Codigo Amostra],[1]!abril6[Massa
Específica])</f>
        <v>860.6</v>
      </c>
      <c r="D178">
        <f>_xlfn.XLOOKUP([1]!Tabela9[[#This Row],[Codigo ANP]],[1]!abril6[Codigo Amostra],[1]!abril6[Teor de
Enxofre])</f>
        <v>160</v>
      </c>
    </row>
    <row r="179" spans="1:4" x14ac:dyDescent="0.3">
      <c r="A179" t="str">
        <f>[1]!Tabela9[[#This Row],[Código LEC]]&amp;".csv"</f>
        <v>37121.csv</v>
      </c>
      <c r="B179">
        <f>_xlfn.XLOOKUP([1]!Tabela9[[#This Row],[Codigo ANP]],[1]!abril6[Codigo Amostra],[1]!abril6[Ponto de fulgor])</f>
        <v>48</v>
      </c>
      <c r="C179">
        <f>_xlfn.XLOOKUP([1]!Tabela9[[#This Row],[Codigo ANP]],[1]!abril6[Codigo Amostra],[1]!abril6[Massa
Específica])</f>
        <v>861.4</v>
      </c>
      <c r="D179">
        <f>_xlfn.XLOOKUP([1]!Tabela9[[#This Row],[Codigo ANP]],[1]!abril6[Codigo Amostra],[1]!abril6[Teor de
Enxofre])</f>
        <v>110</v>
      </c>
    </row>
    <row r="180" spans="1:4" x14ac:dyDescent="0.3">
      <c r="A180" t="str">
        <f>[1]!Tabela9[[#This Row],[Código LEC]]&amp;".csv"</f>
        <v>37127.csv</v>
      </c>
      <c r="B180">
        <f>_xlfn.XLOOKUP([1]!Tabela9[[#This Row],[Codigo ANP]],[1]!abril6[Codigo Amostra],[1]!abril6[Ponto de fulgor])</f>
        <v>54</v>
      </c>
      <c r="C180">
        <f>_xlfn.XLOOKUP([1]!Tabela9[[#This Row],[Codigo ANP]],[1]!abril6[Codigo Amostra],[1]!abril6[Massa
Específica])</f>
        <v>861.7</v>
      </c>
      <c r="D180">
        <f>_xlfn.XLOOKUP([1]!Tabela9[[#This Row],[Codigo ANP]],[1]!abril6[Codigo Amostra],[1]!abril6[Teor de
Enxofre])</f>
        <v>240</v>
      </c>
    </row>
    <row r="181" spans="1:4" x14ac:dyDescent="0.3">
      <c r="A181" t="str">
        <f>[1]!Tabela9[[#This Row],[Código LEC]]&amp;".csv"</f>
        <v>37130.csv</v>
      </c>
      <c r="B181">
        <f>_xlfn.XLOOKUP([1]!Tabela9[[#This Row],[Codigo ANP]],[1]!abril6[Codigo Amostra],[1]!abril6[Ponto de fulgor])</f>
        <v>54.5</v>
      </c>
      <c r="C181">
        <f>_xlfn.XLOOKUP([1]!Tabela9[[#This Row],[Codigo ANP]],[1]!abril6[Codigo Amostra],[1]!abril6[Massa
Específica])</f>
        <v>838.6</v>
      </c>
      <c r="D181">
        <f>_xlfn.XLOOKUP([1]!Tabela9[[#This Row],[Codigo ANP]],[1]!abril6[Codigo Amostra],[1]!abril6[Teor de
Enxofre])</f>
        <v>6.6</v>
      </c>
    </row>
    <row r="182" spans="1:4" x14ac:dyDescent="0.3">
      <c r="A182" t="str">
        <f>[1]!Tabela9[[#This Row],[Código LEC]]&amp;".csv"</f>
        <v>37154.csv</v>
      </c>
      <c r="B182">
        <f>_xlfn.XLOOKUP([1]!Tabela9[[#This Row],[Codigo ANP]],[1]!abril6[Codigo Amostra],[1]!abril6[Ponto de fulgor])</f>
        <v>53.1</v>
      </c>
      <c r="C182">
        <f>_xlfn.XLOOKUP([1]!Tabela9[[#This Row],[Codigo ANP]],[1]!abril6[Codigo Amostra],[1]!abril6[Massa
Específica])</f>
        <v>841.2</v>
      </c>
      <c r="D182">
        <f>_xlfn.XLOOKUP([1]!Tabela9[[#This Row],[Codigo ANP]],[1]!abril6[Codigo Amostra],[1]!abril6[Teor de
Enxofre])</f>
        <v>3.3</v>
      </c>
    </row>
    <row r="183" spans="1:4" x14ac:dyDescent="0.3">
      <c r="A183" t="str">
        <f>[1]!Tabela9[[#This Row],[Código LEC]]&amp;".csv"</f>
        <v>37157.csv</v>
      </c>
      <c r="B183">
        <f>_xlfn.XLOOKUP([1]!Tabela9[[#This Row],[Codigo ANP]],[1]!abril6[Codigo Amostra],[1]!abril6[Ponto de fulgor])</f>
        <v>54.1</v>
      </c>
      <c r="C183">
        <f>_xlfn.XLOOKUP([1]!Tabela9[[#This Row],[Codigo ANP]],[1]!abril6[Codigo Amostra],[1]!abril6[Massa
Específica])</f>
        <v>839.9</v>
      </c>
      <c r="D183">
        <f>_xlfn.XLOOKUP([1]!Tabela9[[#This Row],[Codigo ANP]],[1]!abril6[Codigo Amostra],[1]!abril6[Teor de
Enxofre])</f>
        <v>3.9</v>
      </c>
    </row>
    <row r="184" spans="1:4" x14ac:dyDescent="0.3">
      <c r="A184" t="str">
        <f>[1]!Tabela9[[#This Row],[Código LEC]]&amp;".csv"</f>
        <v>37160.csv</v>
      </c>
      <c r="B184">
        <f>_xlfn.XLOOKUP([1]!Tabela9[[#This Row],[Codigo ANP]],[1]!abril6[Codigo Amostra],[1]!abril6[Ponto de fulgor])</f>
        <v>40</v>
      </c>
      <c r="C184">
        <f>_xlfn.XLOOKUP([1]!Tabela9[[#This Row],[Codigo ANP]],[1]!abril6[Codigo Amostra],[1]!abril6[Massa
Específica])</f>
        <v>846.6</v>
      </c>
      <c r="D184">
        <f>_xlfn.XLOOKUP([1]!Tabela9[[#This Row],[Codigo ANP]],[1]!abril6[Codigo Amostra],[1]!abril6[Teor de
Enxofre])</f>
        <v>60</v>
      </c>
    </row>
    <row r="185" spans="1:4" x14ac:dyDescent="0.3">
      <c r="A185" t="str">
        <f>[1]!Tabela9[[#This Row],[Código LEC]]&amp;".csv"</f>
        <v>37171.csv</v>
      </c>
      <c r="B185">
        <f>_xlfn.XLOOKUP([1]!Tabela9[[#This Row],[Codigo ANP]],[1]!abril6[Codigo Amostra],[1]!abril6[Ponto de fulgor])</f>
        <v>46</v>
      </c>
      <c r="C185">
        <f>_xlfn.XLOOKUP([1]!Tabela9[[#This Row],[Codigo ANP]],[1]!abril6[Codigo Amostra],[1]!abril6[Massa
Específica])</f>
        <v>844.4</v>
      </c>
      <c r="D185">
        <f>_xlfn.XLOOKUP([1]!Tabela9[[#This Row],[Codigo ANP]],[1]!abril6[Codigo Amostra],[1]!abril6[Teor de
Enxofre])</f>
        <v>69</v>
      </c>
    </row>
    <row r="186" spans="1:4" x14ac:dyDescent="0.3">
      <c r="A186" t="str">
        <f>[1]!Tabela9[[#This Row],[Código LEC]]&amp;".csv"</f>
        <v>37174.csv</v>
      </c>
      <c r="B186">
        <f>_xlfn.XLOOKUP([1]!Tabela9[[#This Row],[Codigo ANP]],[1]!abril6[Codigo Amostra],[1]!abril6[Ponto de fulgor])</f>
        <v>47.1</v>
      </c>
      <c r="C186">
        <f>_xlfn.XLOOKUP([1]!Tabela9[[#This Row],[Codigo ANP]],[1]!abril6[Codigo Amostra],[1]!abril6[Massa
Específica])</f>
        <v>844.4</v>
      </c>
      <c r="D186">
        <f>_xlfn.XLOOKUP([1]!Tabela9[[#This Row],[Codigo ANP]],[1]!abril6[Codigo Amostra],[1]!abril6[Teor de
Enxofre])</f>
        <v>90</v>
      </c>
    </row>
    <row r="187" spans="1:4" x14ac:dyDescent="0.3">
      <c r="A187" t="str">
        <f>[1]!Tabela9[[#This Row],[Código LEC]]&amp;".csv"</f>
        <v>37177.csv</v>
      </c>
      <c r="B187">
        <f>_xlfn.XLOOKUP([1]!Tabela9[[#This Row],[Codigo ANP]],[1]!abril6[Codigo Amostra],[1]!abril6[Ponto de fulgor])</f>
        <v>35.1</v>
      </c>
      <c r="C187">
        <f>_xlfn.XLOOKUP([1]!Tabela9[[#This Row],[Codigo ANP]],[1]!abril6[Codigo Amostra],[1]!abril6[Massa
Específica])</f>
        <v>842.7</v>
      </c>
      <c r="D187">
        <f>_xlfn.XLOOKUP([1]!Tabela9[[#This Row],[Codigo ANP]],[1]!abril6[Codigo Amostra],[1]!abril6[Teor de
Enxofre])</f>
        <v>92</v>
      </c>
    </row>
    <row r="188" spans="1:4" x14ac:dyDescent="0.3">
      <c r="A188" t="str">
        <f>[1]!Tabela9[[#This Row],[Código LEC]]&amp;".csv"</f>
        <v>37180.csv</v>
      </c>
      <c r="B188">
        <f>_xlfn.XLOOKUP([1]!Tabela9[[#This Row],[Codigo ANP]],[1]!abril6[Codigo Amostra],[1]!abril6[Ponto de fulgor])</f>
        <v>51.1</v>
      </c>
      <c r="C188">
        <f>_xlfn.XLOOKUP([1]!Tabela9[[#This Row],[Codigo ANP]],[1]!abril6[Codigo Amostra],[1]!abril6[Massa
Específica])</f>
        <v>840.4</v>
      </c>
      <c r="D188">
        <f>_xlfn.XLOOKUP([1]!Tabela9[[#This Row],[Codigo ANP]],[1]!abril6[Codigo Amostra],[1]!abril6[Teor de
Enxofre])</f>
        <v>3.4</v>
      </c>
    </row>
    <row r="189" spans="1:4" x14ac:dyDescent="0.3">
      <c r="A189" t="str">
        <f>[1]!Tabela9[[#This Row],[Código LEC]]&amp;".csv"</f>
        <v>37183.csv</v>
      </c>
      <c r="B189">
        <f>_xlfn.XLOOKUP([1]!Tabela9[[#This Row],[Codigo ANP]],[1]!abril6[Codigo Amostra],[1]!abril6[Ponto de fulgor])</f>
        <v>26.5</v>
      </c>
      <c r="C189">
        <f>_xlfn.XLOOKUP([1]!Tabela9[[#This Row],[Codigo ANP]],[1]!abril6[Codigo Amostra],[1]!abril6[Massa
Específica])</f>
        <v>839.6</v>
      </c>
      <c r="D189">
        <f>_xlfn.XLOOKUP([1]!Tabela9[[#This Row],[Codigo ANP]],[1]!abril6[Codigo Amostra],[1]!abril6[Teor de
Enxofre])</f>
        <v>4.0999999999999996</v>
      </c>
    </row>
    <row r="190" spans="1:4" x14ac:dyDescent="0.3">
      <c r="A190" t="str">
        <f>[1]!Tabela9[[#This Row],[Código LEC]]&amp;".csv"</f>
        <v>37189.csv</v>
      </c>
      <c r="B190">
        <f>_xlfn.XLOOKUP([1]!Tabela9[[#This Row],[Codigo ANP]],[1]!abril6[Codigo Amostra],[1]!abril6[Ponto de fulgor])</f>
        <v>51</v>
      </c>
      <c r="C190">
        <f>_xlfn.XLOOKUP([1]!Tabela9[[#This Row],[Codigo ANP]],[1]!abril6[Codigo Amostra],[1]!abril6[Massa
Específica])</f>
        <v>839.3</v>
      </c>
      <c r="D190">
        <f>_xlfn.XLOOKUP([1]!Tabela9[[#This Row],[Codigo ANP]],[1]!abril6[Codigo Amostra],[1]!abril6[Teor de
Enxofre])</f>
        <v>4.3</v>
      </c>
    </row>
    <row r="191" spans="1:4" x14ac:dyDescent="0.3">
      <c r="A191" t="str">
        <f>[1]!Tabela9[[#This Row],[Código LEC]]&amp;".csv"</f>
        <v>37195.csv</v>
      </c>
      <c r="B191">
        <f>_xlfn.XLOOKUP([1]!Tabela9[[#This Row],[Codigo ANP]],[1]!abril6[Codigo Amostra],[1]!abril6[Ponto de fulgor])</f>
        <v>57.2</v>
      </c>
      <c r="C191">
        <f>_xlfn.XLOOKUP([1]!Tabela9[[#This Row],[Codigo ANP]],[1]!abril6[Codigo Amostra],[1]!abril6[Massa
Específica])</f>
        <v>842.2</v>
      </c>
      <c r="D191">
        <f>_xlfn.XLOOKUP([1]!Tabela9[[#This Row],[Codigo ANP]],[1]!abril6[Codigo Amostra],[1]!abril6[Teor de
Enxofre])</f>
        <v>3.8</v>
      </c>
    </row>
    <row r="192" spans="1:4" x14ac:dyDescent="0.3">
      <c r="A192" t="str">
        <f>[1]!Tabela9[[#This Row],[Código LEC]]&amp;".csv"</f>
        <v>37198.csv</v>
      </c>
      <c r="B192">
        <f>_xlfn.XLOOKUP([1]!Tabela9[[#This Row],[Codigo ANP]],[1]!abril6[Codigo Amostra],[1]!abril6[Ponto de fulgor])</f>
        <v>53.5</v>
      </c>
      <c r="C192">
        <f>_xlfn.XLOOKUP([1]!Tabela9[[#This Row],[Codigo ANP]],[1]!abril6[Codigo Amostra],[1]!abril6[Massa
Específica])</f>
        <v>841</v>
      </c>
      <c r="D192">
        <f>_xlfn.XLOOKUP([1]!Tabela9[[#This Row],[Codigo ANP]],[1]!abril6[Codigo Amostra],[1]!abril6[Teor de
Enxofre])</f>
        <v>4.2</v>
      </c>
    </row>
    <row r="193" spans="1:4" x14ac:dyDescent="0.3">
      <c r="A193" t="str">
        <f>[1]!Tabela9[[#This Row],[Código LEC]]&amp;".csv"</f>
        <v>37201.csv</v>
      </c>
      <c r="B193">
        <f>_xlfn.XLOOKUP([1]!Tabela9[[#This Row],[Codigo ANP]],[1]!abril6[Codigo Amostra],[1]!abril6[Ponto de fulgor])</f>
        <v>52.1</v>
      </c>
      <c r="C193">
        <f>_xlfn.XLOOKUP([1]!Tabela9[[#This Row],[Codigo ANP]],[1]!abril6[Codigo Amostra],[1]!abril6[Massa
Específica])</f>
        <v>840.9</v>
      </c>
      <c r="D193">
        <f>_xlfn.XLOOKUP([1]!Tabela9[[#This Row],[Codigo ANP]],[1]!abril6[Codigo Amostra],[1]!abril6[Teor de
Enxofre])</f>
        <v>3.7</v>
      </c>
    </row>
    <row r="194" spans="1:4" x14ac:dyDescent="0.3">
      <c r="A194" t="str">
        <f>[1]!Tabela9[[#This Row],[Código LEC]]&amp;".csv"</f>
        <v>37207.csv</v>
      </c>
      <c r="B194">
        <f>_xlfn.XLOOKUP([1]!Tabela9[[#This Row],[Codigo ANP]],[1]!abril6[Codigo Amostra],[1]!abril6[Ponto de fulgor])</f>
        <v>37.6</v>
      </c>
      <c r="C194">
        <f>_xlfn.XLOOKUP([1]!Tabela9[[#This Row],[Codigo ANP]],[1]!abril6[Codigo Amostra],[1]!abril6[Massa
Específica])</f>
        <v>859.4</v>
      </c>
      <c r="D194">
        <f>_xlfn.XLOOKUP([1]!Tabela9[[#This Row],[Codigo ANP]],[1]!abril6[Codigo Amostra],[1]!abril6[Teor de
Enxofre])</f>
        <v>300</v>
      </c>
    </row>
    <row r="195" spans="1:4" x14ac:dyDescent="0.3">
      <c r="A195" t="str">
        <f>[1]!Tabela9[[#This Row],[Código LEC]]&amp;".csv"</f>
        <v>37210.csv</v>
      </c>
      <c r="B195">
        <f>_xlfn.XLOOKUP([1]!Tabela9[[#This Row],[Codigo ANP]],[1]!abril6[Codigo Amostra],[1]!abril6[Ponto de fulgor])</f>
        <v>18.3</v>
      </c>
      <c r="C195">
        <f>_xlfn.XLOOKUP([1]!Tabela9[[#This Row],[Codigo ANP]],[1]!abril6[Codigo Amostra],[1]!abril6[Massa
Específica])</f>
        <v>854.6</v>
      </c>
      <c r="D195">
        <f>_xlfn.XLOOKUP([1]!Tabela9[[#This Row],[Codigo ANP]],[1]!abril6[Codigo Amostra],[1]!abril6[Teor de
Enxofre])</f>
        <v>280</v>
      </c>
    </row>
    <row r="196" spans="1:4" x14ac:dyDescent="0.3">
      <c r="A196" t="str">
        <f>[1]!Tabela9[[#This Row],[Código LEC]]&amp;".csv"</f>
        <v>37228.csv</v>
      </c>
      <c r="B196">
        <f>_xlfn.XLOOKUP([1]!Tabela9[[#This Row],[Codigo ANP]],[1]!abril6[Codigo Amostra],[1]!abril6[Ponto de fulgor])</f>
        <v>50.6</v>
      </c>
      <c r="C196">
        <f>_xlfn.XLOOKUP([1]!Tabela9[[#This Row],[Codigo ANP]],[1]!abril6[Codigo Amostra],[1]!abril6[Massa
Específica])</f>
        <v>859.1</v>
      </c>
      <c r="D196">
        <f>_xlfn.XLOOKUP([1]!Tabela9[[#This Row],[Codigo ANP]],[1]!abril6[Codigo Amostra],[1]!abril6[Teor de
Enxofre])</f>
        <v>180</v>
      </c>
    </row>
    <row r="197" spans="1:4" x14ac:dyDescent="0.3">
      <c r="A197" t="str">
        <f>[1]!Tabela9[[#This Row],[Código LEC]]&amp;".csv"</f>
        <v>37234.csv</v>
      </c>
      <c r="B197">
        <f>_xlfn.XLOOKUP([1]!Tabela9[[#This Row],[Codigo ANP]],[1]!abril6[Codigo Amostra],[1]!abril6[Ponto de fulgor])</f>
        <v>49.6</v>
      </c>
      <c r="C197">
        <f>_xlfn.XLOOKUP([1]!Tabela9[[#This Row],[Codigo ANP]],[1]!abril6[Codigo Amostra],[1]!abril6[Massa
Específica])</f>
        <v>860</v>
      </c>
      <c r="D197">
        <f>_xlfn.XLOOKUP([1]!Tabela9[[#This Row],[Codigo ANP]],[1]!abril6[Codigo Amostra],[1]!abril6[Teor de
Enxofre])</f>
        <v>200</v>
      </c>
    </row>
    <row r="198" spans="1:4" x14ac:dyDescent="0.3">
      <c r="A198" t="str">
        <f>[1]!Tabela9[[#This Row],[Código LEC]]&amp;".csv"</f>
        <v>37234.csv</v>
      </c>
      <c r="B198">
        <f>_xlfn.XLOOKUP([1]!Tabela9[[#This Row],[Codigo ANP]],[1]!abril6[Codigo Amostra],[1]!abril6[Ponto de fulgor])</f>
        <v>14.7</v>
      </c>
      <c r="C198">
        <f>_xlfn.XLOOKUP([1]!Tabela9[[#This Row],[Codigo ANP]],[1]!abril6[Codigo Amostra],[1]!abril6[Massa
Específica])</f>
        <v>858.7</v>
      </c>
      <c r="D198">
        <f>_xlfn.XLOOKUP([1]!Tabela9[[#This Row],[Codigo ANP]],[1]!abril6[Codigo Amostra],[1]!abril6[Teor de
Enxofre])</f>
        <v>250</v>
      </c>
    </row>
    <row r="199" spans="1:4" x14ac:dyDescent="0.3">
      <c r="A199" t="str">
        <f>[1]!Tabela9[[#This Row],[Código LEC]]&amp;".csv"</f>
        <v>37248.csv</v>
      </c>
      <c r="B199">
        <f>_xlfn.XLOOKUP([1]!Tabela9[[#This Row],[Codigo ANP]],[1]!abril6[Codigo Amostra],[1]!abril6[Ponto de fulgor])</f>
        <v>26.5</v>
      </c>
      <c r="C199">
        <f>_xlfn.XLOOKUP([1]!Tabela9[[#This Row],[Codigo ANP]],[1]!abril6[Codigo Amostra],[1]!abril6[Massa
Específica])</f>
        <v>858.6</v>
      </c>
      <c r="D199">
        <f>_xlfn.XLOOKUP([1]!Tabela9[[#This Row],[Codigo ANP]],[1]!abril6[Codigo Amostra],[1]!abril6[Teor de
Enxofre])</f>
        <v>210</v>
      </c>
    </row>
    <row r="200" spans="1:4" x14ac:dyDescent="0.3">
      <c r="A200" t="str">
        <f>[1]!Tabela9[[#This Row],[Código LEC]]&amp;".csv"</f>
        <v>37255.csv</v>
      </c>
      <c r="B200">
        <f>_xlfn.XLOOKUP([1]!Tabela9[[#This Row],[Codigo ANP]],[1]!abril6[Codigo Amostra],[1]!abril6[Ponto de fulgor])</f>
        <v>49</v>
      </c>
      <c r="C200">
        <f>_xlfn.XLOOKUP([1]!Tabela9[[#This Row],[Codigo ANP]],[1]!abril6[Codigo Amostra],[1]!abril6[Massa
Específica])</f>
        <v>861.9</v>
      </c>
      <c r="D200">
        <f>_xlfn.XLOOKUP([1]!Tabela9[[#This Row],[Codigo ANP]],[1]!abril6[Codigo Amostra],[1]!abril6[Teor de
Enxofre])</f>
        <v>180</v>
      </c>
    </row>
    <row r="201" spans="1:4" x14ac:dyDescent="0.3">
      <c r="A201" t="str">
        <f>[1]!Tabela9[[#This Row],[Código LEC]]&amp;".csv"</f>
        <v>37258.csv</v>
      </c>
      <c r="B201">
        <f>_xlfn.XLOOKUP([1]!Tabela9[[#This Row],[Codigo ANP]],[1]!abril6[Codigo Amostra],[1]!abril6[Ponto de fulgor])</f>
        <v>60.1</v>
      </c>
      <c r="C201">
        <f>_xlfn.XLOOKUP([1]!Tabela9[[#This Row],[Codigo ANP]],[1]!abril6[Codigo Amostra],[1]!abril6[Massa
Específica])</f>
        <v>850.3</v>
      </c>
      <c r="D201">
        <f>_xlfn.XLOOKUP([1]!Tabela9[[#This Row],[Codigo ANP]],[1]!abril6[Codigo Amostra],[1]!abril6[Teor de
Enxofre])</f>
        <v>0</v>
      </c>
    </row>
    <row r="202" spans="1:4" x14ac:dyDescent="0.3">
      <c r="A202" t="str">
        <f>[1]!Tabela9[[#This Row],[Código LEC]]&amp;".csv"</f>
        <v>37261.csv</v>
      </c>
      <c r="B202">
        <f>_xlfn.XLOOKUP([1]!Tabela9[[#This Row],[Codigo ANP]],[1]!abril6[Codigo Amostra],[1]!abril6[Ponto de fulgor])</f>
        <v>58</v>
      </c>
      <c r="C202">
        <f>_xlfn.XLOOKUP([1]!Tabela9[[#This Row],[Codigo ANP]],[1]!abril6[Codigo Amostra],[1]!abril6[Massa
Específica])</f>
        <v>851.7</v>
      </c>
      <c r="D202">
        <f>_xlfn.XLOOKUP([1]!Tabela9[[#This Row],[Codigo ANP]],[1]!abril6[Codigo Amostra],[1]!abril6[Teor de
Enxofre])</f>
        <v>5.7</v>
      </c>
    </row>
    <row r="203" spans="1:4" x14ac:dyDescent="0.3">
      <c r="A203" t="str">
        <f>[1]!Tabela9[[#This Row],[Código LEC]]&amp;".csv"</f>
        <v>37270.csv</v>
      </c>
      <c r="B203">
        <f>_xlfn.XLOOKUP([1]!Tabela9[[#This Row],[Codigo ANP]],[1]!abril6[Codigo Amostra],[1]!abril6[Ponto de fulgor])</f>
        <v>47</v>
      </c>
      <c r="C203">
        <f>_xlfn.XLOOKUP([1]!Tabela9[[#This Row],[Codigo ANP]],[1]!abril6[Codigo Amostra],[1]!abril6[Massa
Específica])</f>
        <v>848.2</v>
      </c>
      <c r="D203">
        <f>_xlfn.XLOOKUP([1]!Tabela9[[#This Row],[Codigo ANP]],[1]!abril6[Codigo Amostra],[1]!abril6[Teor de
Enxofre])</f>
        <v>50</v>
      </c>
    </row>
    <row r="204" spans="1:4" x14ac:dyDescent="0.3">
      <c r="A204" t="str">
        <f>[1]!Tabela9[[#This Row],[Código LEC]]&amp;".csv"</f>
        <v>37273.csv</v>
      </c>
      <c r="B204">
        <f>_xlfn.XLOOKUP([1]!Tabela9[[#This Row],[Codigo ANP]],[1]!abril6[Codigo Amostra],[1]!abril6[Ponto de fulgor])</f>
        <v>52.5</v>
      </c>
      <c r="C204">
        <f>_xlfn.XLOOKUP([1]!Tabela9[[#This Row],[Codigo ANP]],[1]!abril6[Codigo Amostra],[1]!abril6[Massa
Específica])</f>
        <v>852.2</v>
      </c>
      <c r="D204">
        <f>_xlfn.XLOOKUP([1]!Tabela9[[#This Row],[Codigo ANP]],[1]!abril6[Codigo Amostra],[1]!abril6[Teor de
Enxofre])</f>
        <v>5.2</v>
      </c>
    </row>
    <row r="205" spans="1:4" x14ac:dyDescent="0.3">
      <c r="A205" t="str">
        <f>[1]!Tabela9[[#This Row],[Código LEC]]&amp;".csv"</f>
        <v>37292.csv</v>
      </c>
      <c r="B205">
        <f>_xlfn.XLOOKUP([1]!Tabela9[[#This Row],[Codigo ANP]],[1]!abril6[Codigo Amostra],[1]!abril6[Ponto de fulgor])</f>
        <v>62.1</v>
      </c>
      <c r="C205">
        <f>_xlfn.XLOOKUP([1]!Tabela9[[#This Row],[Codigo ANP]],[1]!abril6[Codigo Amostra],[1]!abril6[Massa
Específica])</f>
        <v>857</v>
      </c>
      <c r="D205">
        <f>_xlfn.XLOOKUP([1]!Tabela9[[#This Row],[Codigo ANP]],[1]!abril6[Codigo Amostra],[1]!abril6[Teor de
Enxofre])</f>
        <v>0</v>
      </c>
    </row>
    <row r="206" spans="1:4" x14ac:dyDescent="0.3">
      <c r="A206" t="str">
        <f>[1]!Tabela9[[#This Row],[Código LEC]]&amp;".csv"</f>
        <v>37295.csv</v>
      </c>
      <c r="B206">
        <f>_xlfn.XLOOKUP([1]!Tabela9[[#This Row],[Codigo ANP]],[1]!abril6[Codigo Amostra],[1]!abril6[Ponto de fulgor])</f>
        <v>58</v>
      </c>
      <c r="C206">
        <f>_xlfn.XLOOKUP([1]!Tabela9[[#This Row],[Codigo ANP]],[1]!abril6[Codigo Amostra],[1]!abril6[Massa
Específica])</f>
        <v>835.7</v>
      </c>
      <c r="D206">
        <f>_xlfn.XLOOKUP([1]!Tabela9[[#This Row],[Codigo ANP]],[1]!abril6[Codigo Amostra],[1]!abril6[Teor de
Enxofre])</f>
        <v>6.5</v>
      </c>
    </row>
    <row r="207" spans="1:4" x14ac:dyDescent="0.3">
      <c r="A207" t="str">
        <f>[1]!Tabela9[[#This Row],[Código LEC]]&amp;".csv"</f>
        <v>37299.csv</v>
      </c>
      <c r="B207">
        <f>_xlfn.XLOOKUP([1]!Tabela9[[#This Row],[Codigo ANP]],[1]!abril6[Codigo Amostra],[1]!abril6[Ponto de fulgor])</f>
        <v>60.2</v>
      </c>
      <c r="C207">
        <f>_xlfn.XLOOKUP([1]!Tabela9[[#This Row],[Codigo ANP]],[1]!abril6[Codigo Amostra],[1]!abril6[Massa
Específica])</f>
        <v>849.9</v>
      </c>
      <c r="D207">
        <f>_xlfn.XLOOKUP([1]!Tabela9[[#This Row],[Codigo ANP]],[1]!abril6[Codigo Amostra],[1]!abril6[Teor de
Enxofre])</f>
        <v>80</v>
      </c>
    </row>
    <row r="208" spans="1:4" x14ac:dyDescent="0.3">
      <c r="A208" t="str">
        <f>[1]!Tabela9[[#This Row],[Código LEC]]&amp;".csv"</f>
        <v>37302.csv</v>
      </c>
      <c r="B208">
        <f>_xlfn.XLOOKUP([1]!Tabela9[[#This Row],[Codigo ANP]],[1]!abril6[Codigo Amostra],[1]!abril6[Ponto de fulgor])</f>
        <v>56</v>
      </c>
      <c r="C208">
        <f>_xlfn.XLOOKUP([1]!Tabela9[[#This Row],[Codigo ANP]],[1]!abril6[Codigo Amostra],[1]!abril6[Massa
Específica])</f>
        <v>858.5</v>
      </c>
      <c r="D208">
        <f>_xlfn.XLOOKUP([1]!Tabela9[[#This Row],[Codigo ANP]],[1]!abril6[Codigo Amostra],[1]!abril6[Teor de
Enxofre])</f>
        <v>70</v>
      </c>
    </row>
    <row r="209" spans="1:4" x14ac:dyDescent="0.3">
      <c r="A209" t="str">
        <f>[1]!Tabela9[[#This Row],[Código LEC]]&amp;".csv"</f>
        <v>37312.csv</v>
      </c>
      <c r="B209">
        <f>_xlfn.XLOOKUP([1]!Tabela9[[#This Row],[Codigo ANP]],[1]!abril6[Codigo Amostra],[1]!abril6[Ponto de fulgor])</f>
        <v>43</v>
      </c>
      <c r="C209">
        <f>_xlfn.XLOOKUP([1]!Tabela9[[#This Row],[Codigo ANP]],[1]!abril6[Codigo Amostra],[1]!abril6[Massa
Específica])</f>
        <v>845.6</v>
      </c>
      <c r="D209">
        <f>_xlfn.XLOOKUP([1]!Tabela9[[#This Row],[Codigo ANP]],[1]!abril6[Codigo Amostra],[1]!abril6[Teor de
Enxofre])</f>
        <v>30</v>
      </c>
    </row>
    <row r="210" spans="1:4" x14ac:dyDescent="0.3">
      <c r="A210" t="str">
        <f>[1]!Tabela9[[#This Row],[Código LEC]]&amp;".csv"</f>
        <v>37318.csv</v>
      </c>
      <c r="B210">
        <f>_xlfn.XLOOKUP([1]!Tabela9[[#This Row],[Codigo ANP]],[1]!abril6[Codigo Amostra],[1]!abril6[Ponto de fulgor])</f>
        <v>42</v>
      </c>
      <c r="C210">
        <f>_xlfn.XLOOKUP([1]!Tabela9[[#This Row],[Codigo ANP]],[1]!abril6[Codigo Amostra],[1]!abril6[Massa
Específica])</f>
        <v>862.9</v>
      </c>
      <c r="D210">
        <f>_xlfn.XLOOKUP([1]!Tabela9[[#This Row],[Codigo ANP]],[1]!abril6[Codigo Amostra],[1]!abril6[Teor de
Enxofre])</f>
        <v>210</v>
      </c>
    </row>
    <row r="211" spans="1:4" x14ac:dyDescent="0.3">
      <c r="A211" t="str">
        <f>[1]!Tabela9[[#This Row],[Código LEC]]&amp;".csv"</f>
        <v>37331.csv</v>
      </c>
      <c r="B211">
        <f>_xlfn.XLOOKUP([1]!Tabela9[[#This Row],[Codigo ANP]],[1]!abril6[Codigo Amostra],[1]!abril6[Ponto de fulgor])</f>
        <v>51.1</v>
      </c>
      <c r="C211">
        <f>_xlfn.XLOOKUP([1]!Tabela9[[#This Row],[Codigo ANP]],[1]!abril6[Codigo Amostra],[1]!abril6[Massa
Específica])</f>
        <v>861.2</v>
      </c>
      <c r="D211">
        <f>_xlfn.XLOOKUP([1]!Tabela9[[#This Row],[Codigo ANP]],[1]!abril6[Codigo Amostra],[1]!abril6[Teor de
Enxofre])</f>
        <v>270</v>
      </c>
    </row>
    <row r="212" spans="1:4" x14ac:dyDescent="0.3">
      <c r="A212" t="str">
        <f>[1]!Tabela9[[#This Row],[Código LEC]]&amp;".csv"</f>
        <v>37378.csv</v>
      </c>
      <c r="B212">
        <f>_xlfn.XLOOKUP([1]!Tabela9[[#This Row],[Codigo ANP]],[1]!abril6[Codigo Amostra],[1]!abril6[Ponto de fulgor])</f>
        <v>60.5</v>
      </c>
      <c r="C212">
        <f>_xlfn.XLOOKUP([1]!Tabela9[[#This Row],[Codigo ANP]],[1]!abril6[Codigo Amostra],[1]!abril6[Massa
Específica])</f>
        <v>837.9</v>
      </c>
      <c r="D212">
        <f>_xlfn.XLOOKUP([1]!Tabela9[[#This Row],[Codigo ANP]],[1]!abril6[Codigo Amostra],[1]!abril6[Teor de
Enxofre])</f>
        <v>0</v>
      </c>
    </row>
    <row r="213" spans="1:4" x14ac:dyDescent="0.3">
      <c r="A213" t="str">
        <f>[1]!Tabela9[[#This Row],[Código LEC]]&amp;".csv"</f>
        <v>37381.csv</v>
      </c>
      <c r="B213">
        <f>_xlfn.XLOOKUP([1]!Tabela9[[#This Row],[Codigo ANP]],[1]!abril6[Codigo Amostra],[1]!abril6[Ponto de fulgor])</f>
        <v>49.2</v>
      </c>
      <c r="C213">
        <f>_xlfn.XLOOKUP([1]!Tabela9[[#This Row],[Codigo ANP]],[1]!abril6[Codigo Amostra],[1]!abril6[Massa
Específica])</f>
        <v>840.2</v>
      </c>
      <c r="D213">
        <f>_xlfn.XLOOKUP([1]!Tabela9[[#This Row],[Codigo ANP]],[1]!abril6[Codigo Amostra],[1]!abril6[Teor de
Enxofre])</f>
        <v>140</v>
      </c>
    </row>
    <row r="214" spans="1:4" x14ac:dyDescent="0.3">
      <c r="A214" t="str">
        <f>[1]!Tabela9[[#This Row],[Código LEC]]&amp;".csv"</f>
        <v>37391.csv</v>
      </c>
      <c r="B214">
        <f>_xlfn.XLOOKUP([1]!Tabela9[[#This Row],[Codigo ANP]],[1]!abril6[Codigo Amostra],[1]!abril6[Ponto de fulgor])</f>
        <v>37</v>
      </c>
      <c r="C214">
        <f>_xlfn.XLOOKUP([1]!Tabela9[[#This Row],[Codigo ANP]],[1]!abril6[Codigo Amostra],[1]!abril6[Massa
Específica])</f>
        <v>858.7</v>
      </c>
      <c r="D214">
        <f>_xlfn.XLOOKUP([1]!Tabela9[[#This Row],[Codigo ANP]],[1]!abril6[Codigo Amostra],[1]!abril6[Teor de
Enxofre])</f>
        <v>320</v>
      </c>
    </row>
    <row r="215" spans="1:4" x14ac:dyDescent="0.3">
      <c r="A215" t="str">
        <f>[1]!Tabela9[[#This Row],[Código LEC]]&amp;".csv"</f>
        <v>39002.csv</v>
      </c>
      <c r="B215">
        <f>_xlfn.XLOOKUP([1]!Tabela9[[#This Row],[Codigo ANP]],[1]!abril6[Codigo Amostra],[1]!abril6[Ponto de fulgor])</f>
        <v>50.1</v>
      </c>
      <c r="C215">
        <f>_xlfn.XLOOKUP([1]!Tabela9[[#This Row],[Codigo ANP]],[1]!abril6[Codigo Amostra],[1]!abril6[Massa
Específica])</f>
        <v>844.7</v>
      </c>
      <c r="D215">
        <f>_xlfn.XLOOKUP([1]!Tabela9[[#This Row],[Codigo ANP]],[1]!abril6[Codigo Amostra],[1]!abril6[Teor de
Enxofre])</f>
        <v>80</v>
      </c>
    </row>
    <row r="216" spans="1:4" x14ac:dyDescent="0.3">
      <c r="A216" t="str">
        <f>[1]!Tabela9[[#This Row],[Código LEC]]&amp;".csv"</f>
        <v>39005.csv</v>
      </c>
      <c r="B216">
        <f>_xlfn.XLOOKUP([1]!Tabela9[[#This Row],[Codigo ANP]],[1]!abril6[Codigo Amostra],[1]!abril6[Ponto de fulgor])</f>
        <v>32.200000000000003</v>
      </c>
      <c r="C216">
        <f>_xlfn.XLOOKUP([1]!Tabela9[[#This Row],[Codigo ANP]],[1]!abril6[Codigo Amostra],[1]!abril6[Massa
Específica])</f>
        <v>851.5</v>
      </c>
      <c r="D216">
        <f>_xlfn.XLOOKUP([1]!Tabela9[[#This Row],[Codigo ANP]],[1]!abril6[Codigo Amostra],[1]!abril6[Teor de
Enxofre])</f>
        <v>170</v>
      </c>
    </row>
    <row r="217" spans="1:4" x14ac:dyDescent="0.3">
      <c r="A217" t="str">
        <f>[1]!Tabela9[[#This Row],[Código LEC]]&amp;".csv"</f>
        <v>39008.csv</v>
      </c>
      <c r="B217">
        <f>_xlfn.XLOOKUP([1]!Tabela9[[#This Row],[Codigo ANP]],[1]!abril6[Codigo Amostra],[1]!abril6[Ponto de fulgor])</f>
        <v>49.2</v>
      </c>
      <c r="C217">
        <f>_xlfn.XLOOKUP([1]!Tabela9[[#This Row],[Codigo ANP]],[1]!abril6[Codigo Amostra],[1]!abril6[Massa
Específica])</f>
        <v>839.8</v>
      </c>
      <c r="D217">
        <f>_xlfn.XLOOKUP([1]!Tabela9[[#This Row],[Codigo ANP]],[1]!abril6[Codigo Amostra],[1]!abril6[Teor de
Enxofre])</f>
        <v>0</v>
      </c>
    </row>
    <row r="218" spans="1:4" x14ac:dyDescent="0.3">
      <c r="A218" t="str">
        <f>[1]!Tabela9[[#This Row],[Código LEC]]&amp;".csv"</f>
        <v>39011.csv</v>
      </c>
      <c r="B218">
        <f>_xlfn.XLOOKUP([1]!Tabela9[[#This Row],[Codigo ANP]],[1]!abril6[Codigo Amostra],[1]!abril6[Ponto de fulgor])</f>
        <v>47</v>
      </c>
      <c r="C218">
        <f>_xlfn.XLOOKUP([1]!Tabela9[[#This Row],[Codigo ANP]],[1]!abril6[Codigo Amostra],[1]!abril6[Massa
Específica])</f>
        <v>850.7</v>
      </c>
      <c r="D218">
        <f>_xlfn.XLOOKUP([1]!Tabela9[[#This Row],[Codigo ANP]],[1]!abril6[Codigo Amostra],[1]!abril6[Teor de
Enxofre])</f>
        <v>170</v>
      </c>
    </row>
    <row r="219" spans="1:4" x14ac:dyDescent="0.3">
      <c r="A219" t="str">
        <f>[1]!Tabela9[[#This Row],[Código LEC]]&amp;".csv"</f>
        <v>39018.csv</v>
      </c>
      <c r="B219">
        <f>_xlfn.XLOOKUP([1]!Tabela9[[#This Row],[Codigo ANP]],[1]!abril6[Codigo Amostra],[1]!abril6[Ponto de fulgor])</f>
        <v>49</v>
      </c>
      <c r="C219">
        <f>_xlfn.XLOOKUP([1]!Tabela9[[#This Row],[Codigo ANP]],[1]!abril6[Codigo Amostra],[1]!abril6[Massa
Específica])</f>
        <v>857.8</v>
      </c>
      <c r="D219">
        <f>_xlfn.XLOOKUP([1]!Tabela9[[#This Row],[Codigo ANP]],[1]!abril6[Codigo Amostra],[1]!abril6[Teor de
Enxofre])</f>
        <v>320</v>
      </c>
    </row>
    <row r="220" spans="1:4" x14ac:dyDescent="0.3">
      <c r="A220" t="str">
        <f>[1]!Tabela9[[#This Row],[Código LEC]]&amp;".csv"</f>
        <v>39032.csv</v>
      </c>
      <c r="B220">
        <f>_xlfn.XLOOKUP([1]!Tabela9[[#This Row],[Codigo ANP]],[1]!abril6[Codigo Amostra],[1]!abril6[Ponto de fulgor])</f>
        <v>44.2</v>
      </c>
      <c r="C220">
        <f>_xlfn.XLOOKUP([1]!Tabela9[[#This Row],[Codigo ANP]],[1]!abril6[Codigo Amostra],[1]!abril6[Massa
Específica])</f>
        <v>859.2</v>
      </c>
      <c r="D220">
        <f>_xlfn.XLOOKUP([1]!Tabela9[[#This Row],[Codigo ANP]],[1]!abril6[Codigo Amostra],[1]!abril6[Teor de
Enxofre])</f>
        <v>330</v>
      </c>
    </row>
    <row r="221" spans="1:4" x14ac:dyDescent="0.3">
      <c r="A221" t="str">
        <f>[1]!Tabela9[[#This Row],[Código LEC]]&amp;".csv"</f>
        <v>39037.csv</v>
      </c>
      <c r="B221">
        <f>_xlfn.XLOOKUP([1]!Tabela9[[#This Row],[Codigo ANP]],[1]!abril6[Codigo Amostra],[1]!abril6[Ponto de fulgor])</f>
        <v>37.1</v>
      </c>
      <c r="C221">
        <f>_xlfn.XLOOKUP([1]!Tabela9[[#This Row],[Codigo ANP]],[1]!abril6[Codigo Amostra],[1]!abril6[Massa
Específica])</f>
        <v>858</v>
      </c>
      <c r="D221">
        <f>_xlfn.XLOOKUP([1]!Tabela9[[#This Row],[Codigo ANP]],[1]!abril6[Codigo Amostra],[1]!abril6[Teor de
Enxofre])</f>
        <v>270</v>
      </c>
    </row>
    <row r="222" spans="1:4" x14ac:dyDescent="0.3">
      <c r="A222" t="str">
        <f>[1]!Tabela9[[#This Row],[Código LEC]]&amp;".csv"</f>
        <v>39039.csv</v>
      </c>
      <c r="B222">
        <f>_xlfn.XLOOKUP([1]!Tabela9[[#This Row],[Codigo ANP]],[1]!abril6[Codigo Amostra],[1]!abril6[Ponto de fulgor])</f>
        <v>17.7</v>
      </c>
      <c r="C222">
        <f>_xlfn.XLOOKUP([1]!Tabela9[[#This Row],[Codigo ANP]],[1]!abril6[Codigo Amostra],[1]!abril6[Massa
Específica])</f>
        <v>845.1</v>
      </c>
      <c r="D222">
        <f>_xlfn.XLOOKUP([1]!Tabela9[[#This Row],[Codigo ANP]],[1]!abril6[Codigo Amostra],[1]!abril6[Teor de
Enxofre])</f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LEC-UFMG QAv</dc:creator>
  <cp:lastModifiedBy>LEC-UFMG QAv</cp:lastModifiedBy>
  <dcterms:created xsi:type="dcterms:W3CDTF">2026-06-19T20:56:59Z</dcterms:created>
  <dcterms:modified xsi:type="dcterms:W3CDTF">2026-06-19T20:58:03Z</dcterms:modified>
</cp:coreProperties>
</file>